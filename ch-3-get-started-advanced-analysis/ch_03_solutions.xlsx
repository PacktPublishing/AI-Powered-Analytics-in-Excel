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AI-Powered-Analytics-in-Excel\ch-3-get-started-advanced-analysis\"/>
    </mc:Choice>
  </mc:AlternateContent>
  <xr:revisionPtr revIDLastSave="0" documentId="13_ncr:1_{9615BA51-B2E9-40CF-9416-5EBD95FBEF19}" xr6:coauthVersionLast="47" xr6:coauthVersionMax="47" xr10:uidLastSave="{00000000-0000-0000-0000-000000000000}"/>
  <bookViews>
    <workbookView xWindow="-93" yWindow="-93" windowWidth="16826" windowHeight="11280" activeTab="2" xr2:uid="{DE2FC6D0-B278-4A6A-8CDE-4A3419D8176F}"/>
  </bookViews>
  <sheets>
    <sheet name="mpg" sheetId="1" r:id="rId1"/>
    <sheet name="Analysis1" sheetId="2" r:id="rId2"/>
    <sheet name="pengui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 a="1"/>
  <c r="A6" i="2" s="1"/>
  <c r="A24" i="2" l="1" a="1"/>
  <c r="A24" i="2" s="1"/>
  <c r="A9" i="2" a="1"/>
  <c r="A9" i="2" s="1"/>
  <c r="A40" i="2" l="1" a="1"/>
  <c r="A40" i="2" s="1"/>
  <c r="A44" i="2" s="1" a="1"/>
  <c r="A44" i="2" s="1"/>
  <c r="A27" i="2" a="1"/>
  <c r="A27" i="2" s="1"/>
  <c r="A47" i="2" l="1" a="1"/>
  <c r="A47" i="2" s="1"/>
  <c r="A58" i="2" a="1"/>
  <c r="A58" i="2" s="1"/>
  <c r="A78" i="2" l="1" a="1"/>
  <c r="A78" i="2" s="1"/>
  <c r="A92" i="2" l="1" a="1"/>
  <c r="A92" i="2" s="1"/>
  <c r="A81" i="2" a="1"/>
  <c r="A81" i="2" s="1"/>
  <c r="A105" i="2" l="1" a="1"/>
  <c r="A105" i="2" s="1"/>
  <c r="A109" i="2" s="1" a="1"/>
  <c r="A109" i="2" s="1"/>
  <c r="A95" i="2" a="1"/>
  <c r="A95" i="2" s="1"/>
  <c r="A117" i="2" l="1" a="1"/>
  <c r="A117" i="2" s="1"/>
  <c r="A120" i="2" s="1" a="1"/>
  <c r="A120" i="2" s="1"/>
  <c r="A112" i="2" a="1"/>
  <c r="A11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0">
    <bk>
      <extLst>
        <ext uri="{3e2802c4-a4d2-4d8b-9148-e3be6c30e623}">
          <xlrd:rvb i="2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6"/>
        </ext>
      </extLst>
    </bk>
  </futureMetadata>
  <cellMetadata count="1">
    <bk>
      <rc t="1" v="0"/>
    </bk>
  </cellMetadata>
  <valueMetadata count="1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autompg_df=xl(%P2%, headers=True)</code>
    </pythonScript>
    <pythonScript>
      <code>#Data quality report: missing values and data types
# Check for missing values and data types in autompg_df
data_quality_report = {
    'missing_values': autompg_df.isnull().sum(),
    'data_types': autompg_df.dtypes
}
pd.DataFrame(data_quality_report)</code>
    </pythonScript>
    <pythonScript>
      <code>#Impute missing 'horsepower' values and confirm
# Impute missing values in 'horsepower' with the median
horsepower_median = autompg_df['horsepower'].median()
autompg_df['horsepower'].fillna(horsepower_median, inplace=True)
# Confirm no missing values remain
autompg_df['horsepower'].isnull().sum()</code>
    </pythonScript>
    <pythonScript>
      <code>#Summary statistics for all numerical features
#Summary statistics for all numerical features
numerical_summary = autompg_df.describe().T
numerical_summary</code>
    </pythonScript>
    <pythonScript>
      <code>#Visualize distributions of key variables
#Visualize distributions of key variables
plt.rcParams['font.family'] = ['Meiryo','Batang','TH SarabunPSK','SimHei','DejaVu Sans']
fig, axes = plt.subplots(4, 2, figsize=(12, 16))
features = ['mpg', 'horsepower', 'weight', 'displacement']
for i, feature in enumerate(features):
    # Histogram
    autompg_df[feature].plot(kind='hist', bins=20, ax=axes[i,0], color='skyblue', edgecolor='black')
    axes[i,0].set_title(f'Histogram of {feature}')
    axes[i,0].set_xlabel(feature)
    axes[i,0].set_ylabel('Frequency')
    # Boxplot
    autompg_df[feature].plot(kind='box', ax=axes[i,1], color='orange')
    axes[i,1].set_title(f'Boxplot of {feature}')
    axes[i,1].set_xlabel(feature)
plt.tight_layout()
plt.show()</code>
    </pythonScript>
    <pythonScript>
      <code>#Correlation matrix for numerical features
#Correlation matrix for numerical features
correlation_matrix = autompg_df.corr(numeric_only=True)
correlation_matrix</code>
    </pythonScript>
    <pythonScript>
      <code>#Encode 'origin' and check skewness of numerical features
#Encode 'origin' categorical variable and check skewness
# Encode 'origin' using one-hot encoding
encoded_df = pd.get_dummies(autompg_df, columns=['origin'], drop_first=True)
# Check skewness of numerical features
skewness_report = encoded_df.select_dtypes(include=[np.number]).skew().sort_values(ascending=False)
skewness_report</code>
    </pythonScript>
    <pythonScript>
      <code>#Check columns after one-hot encoding for 'origin'
#Check columns after one-hot encoding for 'origin'
encoded_df.columns</code>
    </pythonScript>
    <pythonScript>
      <code>#Regression model to predict mpg and evaluation metrics
#Regression model to predict mpg
from sklearn.model_selection import train_test_split
from sklearn.linear_model import LinearRegression
from sklearn.metrics import r2_score, mean_squared_error
# Select features for regression
features = ['cylinders', 'displacement', 'horsepower', 'weight', 'acceleration', 'model_year', 'origin_japan', 'origin_usa']
X = encoded_df[features]
y = encoded_df['mpg']
# Split data into train and test sets
X_train, X_test, y_train, y_test = train_test_split(X, y, test_size=0.2, random_state=42)
# Fit linear regression model
lr = LinearRegression()
lr.fit(X_train, y_train)
# Predict and evaluate
y_pred = lr.predict(X_test)
r2 = r2_score(y_test, y_pred)
rmse = mean_squared_error(y_test, y_pred, squared=False)
# Output model evaluation metrics
pd.DataFrame({'R2': [r2], 'RMSE': [rmse]})</code>
    </pythonScript>
    <pythonScript>
      <code>#Interpret model coefficients
#Interpret model coefficients
#Interpret model coefficients
coefficients = pd.DataFrame({'Feature': features, 'Coefficient': lr.coef_})
coefficients.sort_values(by='Coefficient', ascending=False)</code>
    </pythonScript>
  </pythonScripts>
</python>
</file>

<file path=xl/sharedStrings.xml><?xml version="1.0" encoding="utf-8"?>
<sst xmlns="http://schemas.openxmlformats.org/spreadsheetml/2006/main" count="1863" uniqueCount="346">
  <si>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</si>
  <si>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</si>
  <si>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</si>
  <si>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</si>
  <si>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</si>
  <si>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</si>
  <si>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</si>
  <si>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</si>
  <si>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name</t>
  </si>
  <si>
    <t>usa</t>
  </si>
  <si>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</si>
  <si>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</si>
  <si>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</si>
  <si>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</si>
  <si>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</si>
  <si>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</si>
  <si>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</si>
  <si>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</si>
  <si>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</si>
  <si>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</si>
  <si>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</si>
  <si>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</si>
  <si>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</si>
  <si>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</si>
  <si>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japan</t>
  </si>
  <si>
    <t>toyota corona mark ii</t>
  </si>
  <si>
    <t>plymouth duster</t>
  </si>
  <si>
    <t>amc hornet</t>
  </si>
  <si>
    <t>ford maverick</t>
  </si>
  <si>
    <t>datsun pl510</t>
  </si>
  <si>
    <t>europe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</si>
  <si>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</si>
  <si>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</si>
  <si>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</si>
  <si>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</si>
  <si>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</si>
  <si>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</si>
  <si>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</si>
  <si>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</si>
  <si>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</si>
  <si>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</si>
  <si>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</si>
  <si>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</si>
  <si>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ford pinto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</si>
  <si>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</si>
  <si>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</si>
  <si>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</si>
  <si>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</si>
  <si>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</si>
  <si>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</si>
  <si>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</si>
  <si>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</si>
  <si>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</si>
  <si>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</si>
  <si>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</si>
  <si>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</si>
  <si>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</si>
  <si>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</si>
  <si>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</si>
  <si>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</si>
  <si>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</si>
  <si>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</si>
  <si>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</si>
  <si>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</si>
  <si>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</si>
  <si>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</si>
  <si>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</si>
  <si>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</si>
  <si>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</si>
  <si>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</si>
  <si>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</si>
  <si>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</si>
  <si>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</si>
  <si>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</si>
  <si>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</si>
  <si>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chevrolet chevelle concours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</si>
  <si>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</si>
  <si>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</si>
  <si>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</si>
  <si>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</si>
  <si>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</si>
  <si>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</si>
  <si>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</si>
  <si>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</si>
  <si>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</si>
  <si>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</si>
  <si>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</si>
  <si>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</si>
  <si>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</si>
  <si>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</si>
  <si>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</si>
  <si>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</si>
  <si>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</si>
  <si>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</si>
  <si>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</si>
  <si>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</si>
  <si>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</si>
  <si>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</si>
  <si>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</si>
  <si>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</si>
  <si>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</si>
  <si>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</si>
  <si>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</si>
  <si>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</si>
  <si>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</si>
  <si>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</si>
  <si>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</si>
  <si>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</si>
  <si>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</si>
  <si>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</si>
  <si>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</si>
  <si>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</si>
  <si>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</si>
  <si>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</si>
  <si>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</si>
  <si>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</si>
  <si>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</si>
  <si>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</si>
  <si>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</si>
  <si>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</si>
  <si>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</si>
  <si>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</si>
  <si>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</si>
  <si>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</si>
  <si>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</si>
  <si>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</si>
  <si>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</si>
  <si>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</si>
  <si>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</si>
  <si>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</si>
  <si>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</si>
  <si>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</si>
  <si>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</si>
  <si>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</si>
  <si>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</si>
  <si>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</si>
  <si>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</si>
  <si>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</si>
  <si>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</si>
  <si>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</si>
  <si>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</si>
  <si>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</si>
  <si>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</si>
  <si>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</si>
  <si>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</si>
  <si>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</si>
  <si>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</si>
  <si>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</si>
  <si>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</si>
  <si>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</si>
  <si>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</si>
  <si>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</si>
  <si>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</si>
  <si>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</si>
  <si>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</si>
  <si>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</si>
  <si>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</si>
  <si>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</si>
  <si>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</si>
  <si>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</si>
  <si>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</si>
  <si>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</si>
  <si>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</si>
  <si>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</si>
  <si>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</si>
  <si>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</si>
  <si>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</si>
  <si>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</si>
  <si>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</si>
  <si>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</si>
  <si>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</si>
  <si>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</si>
  <si>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</si>
  <si>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</si>
  <si>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</si>
  <si>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</si>
  <si>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</si>
  <si>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</si>
  <si>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</si>
  <si>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</si>
  <si>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</si>
  <si>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</si>
  <si>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</si>
  <si>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</si>
  <si>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</si>
  <si>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</si>
  <si>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</si>
  <si>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</si>
  <si>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</si>
  <si>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</si>
  <si>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</si>
  <si>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</si>
  <si>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</si>
  <si>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</si>
  <si>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</si>
  <si>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</si>
  <si>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</si>
  <si>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</si>
  <si>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</si>
  <si>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</si>
  <si>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</si>
  <si>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</si>
  <si>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</si>
  <si>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</si>
  <si>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</si>
  <si>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</si>
  <si>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</si>
  <si>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</si>
  <si>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</si>
  <si>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</si>
  <si>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</si>
  <si>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</si>
  <si>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</si>
  <si>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</si>
  <si>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</si>
  <si>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</si>
  <si>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</si>
  <si>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</si>
  <si>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</si>
  <si>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</si>
  <si>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</si>
  <si>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</si>
  <si>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</si>
  <si>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</si>
  <si>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</si>
  <si>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</si>
  <si>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</si>
  <si>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</si>
  <si>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</si>
  <si>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</si>
  <si>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</si>
  <si>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</si>
  <si>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</si>
  <si>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</si>
  <si>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</si>
  <si>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</si>
  <si>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</si>
  <si>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</si>
  <si>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</si>
  <si>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</si>
  <si>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</si>
  <si>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</si>
  <si>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</si>
  <si>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</si>
  <si>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</si>
  <si>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</si>
  <si>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</si>
  <si>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</si>
  <si>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</si>
  <si>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</si>
  <si>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</si>
  <si>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</si>
  <si>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</si>
  <si>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</si>
  <si>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</si>
  <si>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</si>
  <si>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</si>
  <si>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</si>
  <si>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</si>
  <si>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</si>
  <si>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</si>
  <si>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renault lecar deluxe</t>
  </si>
  <si>
    <t>vokswagen rabbit</t>
  </si>
  <si>
    <t>datsun 280-zx</t>
  </si>
  <si>
    <t>mazda rx-7 gs</t>
  </si>
  <si>
    <t>triumph tr7 coupe</t>
  </si>
  <si>
    <t>ford mustang cobra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</si>
  <si>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</si>
  <si>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</si>
  <si>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</si>
  <si>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</si>
  <si>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</si>
  <si>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</si>
  <si>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</si>
  <si>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</si>
  <si>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</si>
  <si>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</si>
  <si>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</si>
  <si>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</si>
  <si>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</si>
  <si>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renault 18i</t>
  </si>
  <si>
    <t>honda prelude</t>
  </si>
  <si>
    <t>datsun 200sx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</si>
  <si>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</si>
  <si>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</si>
  <si>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</si>
  <si>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</si>
  <si>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</si>
  <si>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</si>
  <si>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</si>
  <si>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</si>
  <si>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</si>
  <si>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</si>
  <si>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</si>
  <si>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</si>
  <si>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</si>
  <si>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amc concord dl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</si>
  <si>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</si>
  <si>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</si>
  <si>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</si>
  <si>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</si>
  <si>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</si>
  <si>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</si>
  <si>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</si>
  <si>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</si>
  <si>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</si>
  <si>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</si>
  <si>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</si>
  <si>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</si>
  <si>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</si>
  <si>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</si>
  <si>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</si>
  <si>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</si>
  <si>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</si>
  <si>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</si>
  <si>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</si>
  <si>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</si>
  <si>
    <t>Analysis Sheet</t>
  </si>
  <si>
    <t>This sheet will include all the Python formulas generated by Copilot.</t>
  </si>
  <si>
    <t>Load data from mpg, autompg</t>
  </si>
  <si>
    <t>Preview</t>
  </si>
  <si>
    <t>Data quality report: missing values and data types</t>
  </si>
  <si>
    <t>Impute missing 'horsepower' values and confirm</t>
  </si>
  <si>
    <t>Summary statistics for all numerical features</t>
  </si>
  <si>
    <t>Visualize distributions of key variables</t>
  </si>
  <si>
    <t>Correlation matrix for numerical features</t>
  </si>
  <si>
    <t>Encode 'origin' and check skewness of numerical features</t>
  </si>
  <si>
    <t>Regression model to predict mpg and evaluation metrics</t>
  </si>
  <si>
    <t>Check columns after one-hot encoding for 'origin'</t>
  </si>
  <si>
    <t>Interpret model coefficients</t>
  </si>
  <si>
    <t>species</t>
  </si>
  <si>
    <t>island</t>
  </si>
  <si>
    <t>bill_length_mm</t>
  </si>
  <si>
    <t>bill_depth_mm</t>
  </si>
  <si>
    <t>flipper_length_mm</t>
  </si>
  <si>
    <t>body_mass_g</t>
  </si>
  <si>
    <t>sex</t>
  </si>
  <si>
    <t>Adelie</t>
  </si>
  <si>
    <t>Torgersen</t>
  </si>
  <si>
    <t>Male</t>
  </si>
  <si>
    <t>Female</t>
  </si>
  <si>
    <t/>
  </si>
  <si>
    <t>Biscoe</t>
  </si>
  <si>
    <t>Dream</t>
  </si>
  <si>
    <t>Chinstrap</t>
  </si>
  <si>
    <t>Gentoo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</si>
</sst>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8"/>
      <color rgb="FF006100"/>
      <name val="Aptos Narrow"/>
      <family val="2"/>
      <scheme val="minor"/>
    </font>
    <font>
      <sz val="18"/>
      <color rgb="FF9C0006"/>
      <name val="Aptos Narrow"/>
      <family val="2"/>
      <scheme val="minor"/>
    </font>
    <font>
      <sz val="18"/>
      <color rgb="FF9C5700"/>
      <name val="Aptos Narrow"/>
      <family val="2"/>
      <scheme val="minor"/>
    </font>
    <font>
      <sz val="18"/>
      <color rgb="FF3F3F76"/>
      <name val="Aptos Narrow"/>
      <family val="2"/>
      <scheme val="minor"/>
    </font>
    <font>
      <b/>
      <sz val="18"/>
      <color rgb="FF3F3F3F"/>
      <name val="Aptos Narrow"/>
      <family val="2"/>
      <scheme val="minor"/>
    </font>
    <font>
      <b/>
      <sz val="18"/>
      <color rgb="FFFA7D00"/>
      <name val="Aptos Narrow"/>
      <family val="2"/>
      <scheme val="minor"/>
    </font>
    <font>
      <sz val="18"/>
      <color rgb="FFFA7D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rgb="FFFF0000"/>
      <name val="Aptos Narrow"/>
      <family val="2"/>
      <scheme val="minor"/>
    </font>
    <font>
      <i/>
      <sz val="18"/>
      <color rgb="FF7F7F7F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24"/>
      <color rgb="FF156082"/>
      <name val="Aptos Narrow"/>
      <family val="2"/>
      <scheme val="minor"/>
    </font>
    <font>
      <b/>
      <sz val="14"/>
      <color rgb="FF15608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E11E2E8-0C21-4B65-B6F0-4545202DF39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microsoft.com/office/2017/06/relationships/rdSupportingPropertyBagStructure" Target="richData/rdsupportingpropertybagstructure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06/relationships/richStyles" Target="richData/rich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Array" Target="richData/rdarray.xml"/><Relationship Id="rId5" Type="http://schemas.openxmlformats.org/officeDocument/2006/relationships/styles" Target="styles.xml"/><Relationship Id="rId15" Type="http://schemas.microsoft.com/office/2017/06/relationships/rdRichValueTypes" Target="richData/rdRichValueTypes.xml"/><Relationship Id="rId10" Type="http://schemas.microsoft.com/office/2017/06/relationships/rdRichValueStructure" Target="richData/rdrichvaluestructure.xml"/><Relationship Id="rId19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microsoft.com/office/2017/06/relationships/rdSupportingPropertyBag" Target="richData/rdsupporting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58</xdr:row>
      <xdr:rowOff>0</xdr:rowOff>
    </xdr:from>
    <xdr:to>
      <xdr:col>3</xdr:col>
      <xdr:colOff>700465</xdr:colOff>
      <xdr:row>74</xdr:row>
      <xdr:rowOff>0</xdr:rowOff>
    </xdr:to>
    <xdr:pic>
      <xdr:nvPicPr>
        <xdr:cNvPr id="2" name="Picture 1" title="Visualize distributions of key variables">
          <a:extLst>
            <a:ext uri="{FF2B5EF4-FFF2-40B4-BE49-F238E27FC236}">
              <a16:creationId xmlns:a16="http://schemas.microsoft.com/office/drawing/2014/main" id="{34283D1F-565D-69AF-9096-264ECBD7D773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Analysis1!A58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75767"/>
          <a:ext cx="3646865" cy="487680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8">
  <a r="12" c="10">
    <v t="s"/>
    <v t="s">mpg</v>
    <v t="s">cylinders</v>
    <v t="s">displacement</v>
    <v t="s">horsepower</v>
    <v t="s">weight</v>
    <v t="s">acceleration</v>
    <v t="s">model_year</v>
    <v t="s">origin</v>
    <v t="s">name</v>
    <v>0</v>
    <v>18</v>
    <v>8</v>
    <v>307</v>
    <v>130</v>
    <v>3504</v>
    <v>12</v>
    <v>70</v>
    <v t="s">usa</v>
    <v t="s">chevrolet chevelle malibu</v>
    <v>1</v>
    <v>15</v>
    <v>8</v>
    <v>350</v>
    <v>165</v>
    <v>3693</v>
    <v>11.5</v>
    <v>70</v>
    <v t="s">usa</v>
    <v t="s">buick skylark 320</v>
    <v>2</v>
    <v>18</v>
    <v>8</v>
    <v>318</v>
    <v>150</v>
    <v>3436</v>
    <v>11</v>
    <v>70</v>
    <v t="s">usa</v>
    <v t="s">plymouth satellite</v>
    <v>3</v>
    <v>16</v>
    <v>8</v>
    <v>304</v>
    <v>150</v>
    <v>3433</v>
    <v>12</v>
    <v>70</v>
    <v t="s">usa</v>
    <v t="s">amc rebel sst</v>
    <v>4</v>
    <v>17</v>
    <v>8</v>
    <v>302</v>
    <v>140</v>
    <v>3449</v>
    <v>10.5</v>
    <v>70</v>
    <v t="s">usa</v>
    <v t="s">ford torino</v>
    <v t="s">...</v>
    <v t="s">...</v>
    <v t="s">...</v>
    <v t="s">...</v>
    <v t="s">...</v>
    <v t="s">...</v>
    <v t="s">...</v>
    <v t="s">...</v>
    <v t="s">...</v>
    <v t="s">...</v>
    <v>393</v>
    <v>27</v>
    <v>4</v>
    <v>140</v>
    <v>86</v>
    <v>2790</v>
    <v>15.6</v>
    <v>82</v>
    <v t="s">usa</v>
    <v t="s">ford mustang gl</v>
    <v>394</v>
    <v>44</v>
    <v>4</v>
    <v>97</v>
    <v>52</v>
    <v>2130</v>
    <v>24.6</v>
    <v>82</v>
    <v t="s">europe</v>
    <v t="s">vw pickup</v>
    <v>395</v>
    <v>32</v>
    <v>4</v>
    <v>135</v>
    <v>84</v>
    <v>2295</v>
    <v>11.6</v>
    <v>82</v>
    <v t="s">usa</v>
    <v t="s">dodge rampage</v>
    <v>396</v>
    <v>28</v>
    <v>4</v>
    <v>120</v>
    <v>79</v>
    <v>2625</v>
    <v>18.600000000000001</v>
    <v>82</v>
    <v t="s">usa</v>
    <v t="s">ford ranger</v>
    <v>397</v>
    <v>31</v>
    <v>4</v>
    <v>119</v>
    <v>82</v>
    <v>2720</v>
    <v>19.399999999999999</v>
    <v>82</v>
    <v t="s">usa</v>
    <v t="s">chevy s-10</v>
  </a>
  <a r="10" c="3">
    <v t="s"/>
    <v t="s">missing_values</v>
    <v t="s">data_types</v>
    <v t="s">mpg</v>
    <v>0</v>
    <v t="s">&lt;Float64DType&gt;</v>
    <v t="s">cylinders</v>
    <v>0</v>
    <v t="s">&lt;Int64DType&gt;</v>
    <v t="s">displacement</v>
    <v>0</v>
    <v t="s">&lt;Float64DType&gt;</v>
    <v t="s">horsepower</v>
    <v>6</v>
    <v t="s">&lt;Float64DType&gt;</v>
    <v t="s">weight</v>
    <v>0</v>
    <v t="s">&lt;Int64DType&gt;</v>
    <v t="s">acceleration</v>
    <v>0</v>
    <v t="s">&lt;Float64DType&gt;</v>
    <v t="s">model_year</v>
    <v>0</v>
    <v t="s">&lt;Int64DType&gt;</v>
    <v t="s">origin</v>
    <v>0</v>
    <v t="s">&lt;ObjectDType&gt;</v>
    <v t="s">name</v>
    <v>0</v>
    <v t="s">&lt;ObjectDType&gt;</v>
  </a>
  <a r="8" c="9">
    <v t="s"/>
    <v t="s">count</v>
    <v t="s">mean</v>
    <v t="s">std</v>
    <v t="s">min</v>
    <v t="s">25%</v>
    <v t="s">50%</v>
    <v t="s">75%</v>
    <v t="s">max</v>
    <v t="s">mpg</v>
    <v>398</v>
    <v>23.514572864321607</v>
    <v>7.8159843125657824</v>
    <v>9</v>
    <v>17.5</v>
    <v>23</v>
    <v>29</v>
    <v>46.6</v>
    <v t="s">cylinders</v>
    <v>398</v>
    <v>5.4547738693467336</v>
    <v>1.7010042445332094</v>
    <v>3</v>
    <v>4</v>
    <v>4</v>
    <v>8</v>
    <v>8</v>
    <v t="s">displacement</v>
    <v>398</v>
    <v>193.42587939698493</v>
    <v>104.26983817119581</v>
    <v>68</v>
    <v>104.25</v>
    <v>148.5</v>
    <v>262</v>
    <v>455</v>
    <v t="s">horsepower</v>
    <v>398</v>
    <v>104.30402010050251</v>
    <v>38.222624868108682</v>
    <v>46</v>
    <v>76</v>
    <v>93.5</v>
    <v>125</v>
    <v>230</v>
    <v t="s">weight</v>
    <v>398</v>
    <v>2970.424623115578</v>
    <v>846.84177419732714</v>
    <v>1613</v>
    <v>2223.75</v>
    <v>2803.5</v>
    <v>3608</v>
    <v>5140</v>
    <v t="s">acceleration</v>
    <v>398</v>
    <v>15.568090452261307</v>
    <v>2.7576889298126757</v>
    <v>8</v>
    <v>13.825000000000001</v>
    <v>15.5</v>
    <v>17.175000000000001</v>
    <v>24.8</v>
    <v t="s">model_year</v>
    <v>398</v>
    <v>76.010050251256288</v>
    <v>3.6976266467326231</v>
    <v>70</v>
    <v>73</v>
    <v>76</v>
    <v>79</v>
    <v>82</v>
  </a>
  <a r="2">
    <v>1189</v>
    <v>1590</v>
  </a>
  <a r="8" c="8">
    <v t="s"/>
    <v t="s">mpg</v>
    <v t="s">cylinders</v>
    <v t="s">displacement</v>
    <v t="s">horsepower</v>
    <v t="s">weight</v>
    <v t="s">acceleration</v>
    <v t="s">model_year</v>
    <v t="s">mpg</v>
    <v>1</v>
    <v>-0.77539628542055394</v>
    <v>-0.80420282480589789</v>
    <v>-0.7734532045742144</v>
    <v>-0.8317409332443344</v>
    <v>0.42028891210165054</v>
    <v>0.57926713308330924</v>
    <v t="s">cylinders</v>
    <v>-0.77539628542055394</v>
    <v>1</v>
    <v>0.95072139013924151</v>
    <v>0.84128446376210164</v>
    <v>0.89601679545339441</v>
    <v>-0.50541948905217582</v>
    <v>-0.34874579661359445</v>
    <v t="s">displacement</v>
    <v>-0.80420282480589789</v>
    <v>0.95072139013924151</v>
    <v>1</v>
    <v>0.8957782012539004</v>
    <v>0.93282414684163395</v>
    <v>-0.54368408350092989</v>
    <v>-0.37016416107932471</v>
    <v t="s">horsepower</v>
    <v>-0.7734532045742144</v>
    <v>0.84128446376210164</v>
    <v>0.8957782012539004</v>
    <v>1</v>
    <v>0.86244236099156213</v>
    <v>-0.68658973730477091</v>
    <v>-0.41373279760678372</v>
    <v t="s">weight</v>
    <v>-0.8317409332443344</v>
    <v>0.89601679545339441</v>
    <v>0.93282414684163395</v>
    <v>0.86244236099156213</v>
    <v>1</v>
    <v>-0.4174573199403932</v>
    <v>-0.30656433428328922</v>
    <v t="s">acceleration</v>
    <v>0.42028891210165054</v>
    <v>-0.50541948905217582</v>
    <v>-0.54368408350092989</v>
    <v>-0.68658973730477091</v>
    <v>-0.4174573199403932</v>
    <v>1</v>
    <v>0.28813695429949115</v>
    <v t="s">model_year</v>
    <v>0.57926713308330924</v>
    <v>-0.34874579661359445</v>
    <v>-0.37016416107932471</v>
    <v>-0.41373279760678372</v>
    <v>-0.30656433428328922</v>
    <v>0.28813695429949115</v>
    <v>1</v>
  </a>
  <a r="7" c="2">
    <v t="s">horsepower</v>
    <v>1.1062242930872614</v>
    <v t="s">displacement</v>
    <v>0.71964516430059522</v>
    <v t="s">weight</v>
    <v>0.53106251259946291</v>
    <v t="s">cylinders</v>
    <v>0.52692154535289404</v>
    <v t="s">mpg</v>
    <v>0.45706634399491913</v>
    <v t="s">acceleration</v>
    <v>0.27877684462588986</v>
    <v t="s">model_year</v>
    <v>1.153459401509278E-2</v>
  </a>
  <a r="2" c="3">
    <v t="s"/>
    <v t="s">R2</v>
    <v t="s">RMSE</v>
    <v>0</v>
    <v>0.84490963327620838</v>
    <v>2.8876733677169266</v>
  </a>
  <a r="9" c="3">
    <v t="s"/>
    <v t="s">Feature</v>
    <v t="s">Coefficient</v>
    <v>5</v>
    <v t="s">model_year</v>
    <v>0.82596927182081681</v>
    <v>4</v>
    <v t="s">acceleration</v>
    <v>6.796652178884284E-2</v>
    <v>1</v>
    <v t="s">displacement</v>
    <v>1.9775710196320986E-2</v>
    <v>3</v>
    <v t="s">weight</v>
    <v>-7.0472665080488486E-3</v>
    <v>2</v>
    <v t="s">horsepower</v>
    <v>-1.4561875499476443E-2</v>
    <v>0</v>
    <v t="s">cylinders</v>
    <v>-0.16566377598888227</v>
    <v>6</v>
    <v t="s">origin_japan</v>
    <v>-0.27578067033266257</v>
    <v>7</v>
    <v t="s">origin_usa</v>
    <v>-2.9469066693935693</v>
  </a>
</arrayData>
</file>

<file path=xl/richData/rdrichvalue.xml><?xml version="1.0" encoding="utf-8"?>
<rvData xmlns="http://schemas.microsoft.com/office/spreadsheetml/2017/richdata" count="27">
  <rv s="0">
    <v>0</v>
  </rv>
  <rv s="1">
    <v>DataFrame</v>
    <v>1</v>
    <v>0</v>
  </rv>
  <rv s="2">
    <v>&lt;class 'pandas.core.frame.DataFrame'&gt;</v>
    <v>DataFrame</v>
    <v xml:space="preserve">      mpg  cylinders  displacement  horsepower  weight  acceleration  \
0    18.0          8         307.0       130.0    3504          12.0   
1    15.0          8         350.0       165.0    3693          11.5   
2    18.0          8         318.0  ...</v>
    <v>1</v>
    <v>2</v>
  </rv>
  <rv s="0">
    <v>1</v>
  </rv>
  <rv s="1">
    <v>DataFrame</v>
    <v>4</v>
    <v>3</v>
  </rv>
  <rv s="2">
    <v>&lt;class 'pandas.core.frame.DataFrame'&gt;</v>
    <v>DataFrame</v>
    <v xml:space="preserve">              missing_values data_types
mpg                        0    float64
cylinders                  0      int64
displacement               0    float64
horsepower                 6    float64
weight                     0      int64
acceleration...</v>
    <v>4</v>
    <v>2</v>
  </rv>
  <rv s="3">
    <fb>0</fb>
    <v>&lt;class 'numpy.int64'&gt;</v>
    <v>int64</v>
    <v>0</v>
    <v>0</v>
    <v>2</v>
  </rv>
  <rv s="0">
    <v>2</v>
  </rv>
  <rv s="1">
    <v>DataFrame</v>
    <v>6</v>
    <v>7</v>
  </rv>
  <rv s="2">
    <v>&lt;class 'pandas.core.frame.DataFrame'&gt;</v>
    <v>DataFrame</v>
    <v xml:space="preserve">              count         mean         std     min       25%     50%  \
mpg           398.0    23.514573    7.815984     9.0    17.500    23.0   
cylinders     398.0     5.454774    1.701004     3.0     4.000     4.0   
displacement  398.0   193.4258...</v>
    <v>8</v>
    <v>2</v>
  </rv>
  <rv s="4">
    <v>0</v>
    <v>9</v>
  </rv>
  <rv s="0">
    <v>3</v>
  </rv>
  <rv s="5">
    <v>Image</v>
    <v>7</v>
    <v>10</v>
    <v>11</v>
  </rv>
  <rv s="2">
    <v>&lt;class 'PIL.PngImagePlugin.PngImageFile'&gt;</v>
    <v>PngImageFile</v>
    <v>&lt;PIL.PngImagePlugin.PngImageFile image mode=RGBA size=1189x1590 at 0x7F2F718E7EF0&gt;</v>
    <v>12</v>
    <v>2</v>
  </rv>
  <rv s="0">
    <v>4</v>
  </rv>
  <rv s="1">
    <v>DataFrame</v>
    <v>9</v>
    <v>14</v>
  </rv>
  <rv s="2">
    <v>&lt;class 'pandas.core.frame.DataFrame'&gt;</v>
    <v>DataFrame</v>
    <v xml:space="preserve">                   mpg  cylinders  displacement  horsepower    weight  \
mpg           1.000000  -0.775396     -0.804203   -0.773453 -0.831741   
cylinders    -0.775396   1.000000      0.950721    0.841284  0.896017   
displacement -0.804203   0.950721...</v>
    <v>15</v>
    <v>2</v>
  </rv>
  <rv s="0">
    <v>5</v>
  </rv>
  <rv s="1">
    <v>Series</v>
    <v>11</v>
    <v>17</v>
  </rv>
  <rv s="2">
    <v>&lt;class 'pandas.core.series.Series'&gt;</v>
    <v>Series</v>
    <v>horsepower      1.106224
displacement    0.719645
weight          0.531063
cylinders       0.526922
mpg             0.457066
acceleration    0.278777
model_year      0.011535
dtype: float64</v>
    <v>18</v>
    <v>2</v>
  </rv>
  <rv s="6">
    <v>&lt;class 'pandas.core.indexes.base.Index'&gt;</v>
    <v>Index</v>
    <v>Index(['mpg', 'cylinders', 'displacement', 'horsepower', 'weight',
       'acceleration', 'model_year', 'name', 'origin_japan', 'origin_usa'],
      dtype='object')</v>
    <v>2</v>
  </rv>
  <rv s="0">
    <v>6</v>
  </rv>
  <rv s="1">
    <v>DataFrame</v>
    <v>13</v>
    <v>21</v>
  </rv>
  <rv s="2">
    <v>&lt;class 'pandas.core.frame.DataFrame'&gt;</v>
    <v>DataFrame</v>
    <v xml:space="preserve">        R2      RMSE
0  0.84491  2.887673</v>
    <v>22</v>
    <v>2</v>
  </rv>
  <rv s="0">
    <v>7</v>
  </rv>
  <rv s="1">
    <v>DataFrame</v>
    <v>15</v>
    <v>24</v>
  </rv>
  <rv s="2">
    <v>&lt;class 'pandas.core.frame.DataFrame'&gt;</v>
    <v>DataFrame</v>
    <v xml:space="preserve">        Feature  Coefficient
5    model_year     0.825969
4  acceleration     0.067967
1  displacement     0.019776
3        weight    -0.007047
2    horsepower    -0.014562
0     cylinders    -0.165664
6  origin_japan    -0.275781
7    origin_usa    -...</v>
    <v>25</v>
    <v>2</v>
  </rv>
</rvData>
</file>

<file path=xl/richData/rdrichvaluestructure.xml><?xml version="1.0" encoding="utf-8"?>
<rvStructures xmlns="http://schemas.microsoft.com/office/spreadsheetml/2017/richdata" count="7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python">
    <k n="Python_type" t="s"/>
    <k n="Python_typeName" t="s"/>
    <k n="Python_str" t="s"/>
    <k n="basicValue" t="i"/>
    <k n="_Provider" t="spb"/>
  </s>
  <s t="_localImage">
    <k n="_rvRel:LocalImageIdentifier" t="i"/>
    <k n="CalcOrigin" t="i"/>
  </s>
  <s t="_entity">
    <k n="_DisplayString" t="s"/>
    <k n="_Format" t="spb"/>
    <k n="image" t="r"/>
    <k n="size" t="r"/>
  </s>
  <s t="_python">
    <k n="Python_type" t="s"/>
    <k n="Python_typeName" t="s"/>
    <k n="Python_str" t="s"/>
    <k n="_Provider" t="spb"/>
  </s>
</rvStructures>
</file>

<file path=xl/richData/rdsupportingpropertybag.xml><?xml version="1.0" encoding="utf-8"?>
<supportingPropertyBags xmlns="http://schemas.microsoft.com/office/spreadsheetml/2017/richdata2">
  <spbData count="16">
    <spb s="0">
      <v>398</v>
      <v>9</v>
      <v>DataFrame</v>
      <v>arrayPreview</v>
      <v>1</v>
    </spb>
    <spb s="1">
      <v>0</v>
    </spb>
    <spb s="2">
      <v>https://www.anaconda.com/excel</v>
      <v>https://res.cdn.office.net/officepysvc/prod-preview/anacondalogo.png</v>
      <v>Python provided by Anaconda</v>
    </spb>
    <spb s="0">
      <v>9</v>
      <v>2</v>
      <v>DataFrame</v>
      <v>arrayPreview</v>
      <v>1</v>
    </spb>
    <spb s="1">
      <v>3</v>
    </spb>
    <spb s="0">
      <v>7</v>
      <v>8</v>
      <v>DataFrame</v>
      <v>arrayPreview</v>
      <v>1</v>
    </spb>
    <spb s="1">
      <v>5</v>
    </spb>
    <spb s="3">
      <v>1</v>
    </spb>
    <spb s="0">
      <v>7</v>
      <v>7</v>
      <v>DataFrame</v>
      <v>arrayPreview</v>
      <v>1</v>
    </spb>
    <spb s="1">
      <v>8</v>
    </spb>
    <spb s="4">
      <v>7</v>
      <v>1</v>
      <v>Series</v>
      <v>arrayPreview</v>
    </spb>
    <spb s="1">
      <v>10</v>
    </spb>
    <spb s="0">
      <v>1</v>
      <v>2</v>
      <v>DataFrame</v>
      <v>arrayPreview</v>
      <v>1</v>
    </spb>
    <spb s="1">
      <v>12</v>
    </spb>
    <spb s="0">
      <v>8</v>
      <v>2</v>
      <v>DataFrame</v>
      <v>arrayPreview</v>
      <v>1</v>
    </spb>
    <spb s="1">
      <v>14</v>
    </spb>
  </spbData>
</supportingPropertyBags>
</file>

<file path=xl/richData/rdsupportingpropertybagstructure.xml><?xml version="1.0" encoding="utf-8"?>
<spbStructures xmlns="http://schemas.microsoft.com/office/spreadsheetml/2017/richdata2" count="5">
  <s>
    <k n="drw" t="i"/>
    <k n="dcol" t="i"/>
    <k n="name" t="s"/>
    <k n="array" t="s"/>
    <k n="headers" t="b"/>
  </s>
  <s>
    <k n="ArrayCardInfo" t="spb"/>
  </s>
  <s>
    <k n="link" t="s"/>
    <k n="logo" t="s"/>
    <k n="name" t="s"/>
  </s>
  <s>
    <k n="image" t="i"/>
  </s>
  <s>
    <k n="drw" t="i"/>
    <k n="dcol" t="i"/>
    <k n="name" t="s"/>
    <k n="array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richProperties>
    <rPr n="IsHeroField" t="b"/>
  </richProperties>
  <richStyles>
    <rSty>
      <rpv i="0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49E5C8-DD4E-4057-90A7-3F9DE6DB3CA7}" name="autompg" displayName="autompg" ref="A1:I399" totalsRowShown="0">
  <autoFilter ref="A1:I399" xr:uid="{2C49E5C8-DD4E-4057-90A7-3F9DE6DB3CA7}"/>
  <tableColumns count="9">
    <tableColumn id="1" xr3:uid="{4A5053B5-BF8B-432A-8BD6-DAA0BC41D435}" name="mpg"/>
    <tableColumn id="2" xr3:uid="{114036D8-06F0-453B-A613-2CB59F652FE7}" name="cylinders"/>
    <tableColumn id="3" xr3:uid="{AB637BE5-22EC-4217-9557-254002515A57}" name="displacement"/>
    <tableColumn id="4" xr3:uid="{C7F86A19-4F6A-4A02-BC3B-F7039FD43093}" name="horsepower"/>
    <tableColumn id="5" xr3:uid="{7C15F9AF-BE68-480D-AB5F-7B55FDF1785F}" name="weight"/>
    <tableColumn id="6" xr3:uid="{0B770894-3911-496A-BBBF-C76267FC7232}" name="acceleration"/>
    <tableColumn id="7" xr3:uid="{B57FCA86-E16F-4BED-B901-917E7E12EDAD}" name="model_year"/>
    <tableColumn id="8" xr3:uid="{EF6E5C53-55C4-4FFA-A7FB-DCF83C3CA469}" name="origin"/>
    <tableColumn id="9" xr3:uid="{B5F1B161-C1DB-4052-AD4B-7317D4BAC64E}" name="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4CAD2F-189E-4551-B375-792A304806AD}" name="penguins" displayName="penguins" ref="A1:G345" totalsRowShown="0">
  <autoFilter ref="A1:G345" xr:uid="{B24FDAB6-206F-4511-9340-D609EF53A813}"/>
  <tableColumns count="7">
    <tableColumn id="1" xr3:uid="{32AFDA19-32B8-49B7-87CC-4DDA117F86B5}" name="species"/>
    <tableColumn id="2" xr3:uid="{DACA0A61-E94C-48B1-8971-BDA565547103}" name="island"/>
    <tableColumn id="3" xr3:uid="{D560CD65-C05F-4A0F-B03B-6638FBB5F134}" name="bill_length_mm"/>
    <tableColumn id="4" xr3:uid="{30A24ACA-42F7-451B-BD96-D0C1372A593A}" name="bill_depth_mm"/>
    <tableColumn id="5" xr3:uid="{96693BB2-ACB9-4252-8A47-AFAE31612F6A}" name="flipper_length_mm"/>
    <tableColumn id="6" xr3:uid="{E24A5C9A-48D9-47BC-A625-4A6B33438641}" name="body_mass_g"/>
    <tableColumn id="7" xr3:uid="{C19A70AD-7E52-4176-B000-855784683043}" name="s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6936C-FA72-492B-8F57-08DF00678A65}">
  <dimension ref="A1:I399"/>
  <sheetViews>
    <sheetView workbookViewId="0"/>
  </sheetViews>
  <sheetFormatPr defaultRowHeight="24" x14ac:dyDescent="0.85"/>
  <cols>
    <col min="2" max="2" width="9.2578125" customWidth="1"/>
    <col min="3" max="3" width="13.03515625" customWidth="1"/>
    <col min="4" max="4" width="11.40625" customWidth="1"/>
    <col min="6" max="6" width="12.03515625" customWidth="1"/>
    <col min="7" max="7" width="11.2578125" customWidth="1"/>
  </cols>
  <sheetData>
    <row r="1" spans="1:9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85">
      <c r="A2">
        <v>18</v>
      </c>
      <c r="B2">
        <v>8</v>
      </c>
      <c r="C2">
        <v>307</v>
      </c>
      <c r="D2">
        <v>130</v>
      </c>
      <c r="E2">
        <v>3504</v>
      </c>
      <c r="F2">
        <v>12</v>
      </c>
      <c r="G2">
        <v>70</v>
      </c>
      <c r="H2" t="s">
        <v>9</v>
      </c>
      <c r="I2" t="s">
        <v>10</v>
      </c>
    </row>
    <row r="3" spans="1:9" x14ac:dyDescent="0.85">
      <c r="A3">
        <v>15</v>
      </c>
      <c r="B3">
        <v>8</v>
      </c>
      <c r="C3">
        <v>350</v>
      </c>
      <c r="D3">
        <v>165</v>
      </c>
      <c r="E3">
        <v>3693</v>
      </c>
      <c r="F3">
        <v>11.5</v>
      </c>
      <c r="G3">
        <v>70</v>
      </c>
      <c r="H3" t="s">
        <v>9</v>
      </c>
      <c r="I3" t="s">
        <v>11</v>
      </c>
    </row>
    <row r="4" spans="1:9" x14ac:dyDescent="0.85">
      <c r="A4">
        <v>18</v>
      </c>
      <c r="B4">
        <v>8</v>
      </c>
      <c r="C4">
        <v>318</v>
      </c>
      <c r="D4">
        <v>150</v>
      </c>
      <c r="E4">
        <v>3436</v>
      </c>
      <c r="F4">
        <v>11</v>
      </c>
      <c r="G4">
        <v>70</v>
      </c>
      <c r="H4" t="s">
        <v>9</v>
      </c>
      <c r="I4" t="s">
        <v>12</v>
      </c>
    </row>
    <row r="5" spans="1:9" x14ac:dyDescent="0.85">
      <c r="A5">
        <v>16</v>
      </c>
      <c r="B5">
        <v>8</v>
      </c>
      <c r="C5">
        <v>304</v>
      </c>
      <c r="D5">
        <v>150</v>
      </c>
      <c r="E5">
        <v>3433</v>
      </c>
      <c r="F5">
        <v>12</v>
      </c>
      <c r="G5">
        <v>70</v>
      </c>
      <c r="H5" t="s">
        <v>9</v>
      </c>
      <c r="I5" t="s">
        <v>13</v>
      </c>
    </row>
    <row r="6" spans="1:9" x14ac:dyDescent="0.85">
      <c r="A6">
        <v>17</v>
      </c>
      <c r="B6">
        <v>8</v>
      </c>
      <c r="C6">
        <v>302</v>
      </c>
      <c r="D6">
        <v>140</v>
      </c>
      <c r="E6">
        <v>3449</v>
      </c>
      <c r="F6">
        <v>10.5</v>
      </c>
      <c r="G6">
        <v>70</v>
      </c>
      <c r="H6" t="s">
        <v>9</v>
      </c>
      <c r="I6" t="s">
        <v>14</v>
      </c>
    </row>
    <row r="7" spans="1:9" x14ac:dyDescent="0.85">
      <c r="A7">
        <v>15</v>
      </c>
      <c r="B7">
        <v>8</v>
      </c>
      <c r="C7">
        <v>429</v>
      </c>
      <c r="D7">
        <v>198</v>
      </c>
      <c r="E7">
        <v>4341</v>
      </c>
      <c r="F7">
        <v>10</v>
      </c>
      <c r="G7">
        <v>70</v>
      </c>
      <c r="H7" t="s">
        <v>9</v>
      </c>
      <c r="I7" t="s">
        <v>15</v>
      </c>
    </row>
    <row r="8" spans="1:9" x14ac:dyDescent="0.85">
      <c r="A8">
        <v>14</v>
      </c>
      <c r="B8">
        <v>8</v>
      </c>
      <c r="C8">
        <v>454</v>
      </c>
      <c r="D8">
        <v>220</v>
      </c>
      <c r="E8">
        <v>4354</v>
      </c>
      <c r="F8">
        <v>9</v>
      </c>
      <c r="G8">
        <v>70</v>
      </c>
      <c r="H8" t="s">
        <v>9</v>
      </c>
      <c r="I8" t="s">
        <v>16</v>
      </c>
    </row>
    <row r="9" spans="1:9" x14ac:dyDescent="0.85">
      <c r="A9">
        <v>14</v>
      </c>
      <c r="B9">
        <v>8</v>
      </c>
      <c r="C9">
        <v>440</v>
      </c>
      <c r="D9">
        <v>215</v>
      </c>
      <c r="E9">
        <v>4312</v>
      </c>
      <c r="F9">
        <v>8.5</v>
      </c>
      <c r="G9">
        <v>70</v>
      </c>
      <c r="H9" t="s">
        <v>9</v>
      </c>
      <c r="I9" t="s">
        <v>17</v>
      </c>
    </row>
    <row r="10" spans="1:9" x14ac:dyDescent="0.85">
      <c r="A10">
        <v>14</v>
      </c>
      <c r="B10">
        <v>8</v>
      </c>
      <c r="C10">
        <v>455</v>
      </c>
      <c r="D10">
        <v>225</v>
      </c>
      <c r="E10">
        <v>4425</v>
      </c>
      <c r="F10">
        <v>10</v>
      </c>
      <c r="G10">
        <v>70</v>
      </c>
      <c r="H10" t="s">
        <v>9</v>
      </c>
      <c r="I10" t="s">
        <v>18</v>
      </c>
    </row>
    <row r="11" spans="1:9" x14ac:dyDescent="0.85">
      <c r="A11">
        <v>15</v>
      </c>
      <c r="B11">
        <v>8</v>
      </c>
      <c r="C11">
        <v>390</v>
      </c>
      <c r="D11">
        <v>190</v>
      </c>
      <c r="E11">
        <v>3850</v>
      </c>
      <c r="F11">
        <v>8.5</v>
      </c>
      <c r="G11">
        <v>70</v>
      </c>
      <c r="H11" t="s">
        <v>9</v>
      </c>
      <c r="I11" t="s">
        <v>19</v>
      </c>
    </row>
    <row r="12" spans="1:9" x14ac:dyDescent="0.85">
      <c r="A12">
        <v>15</v>
      </c>
      <c r="B12">
        <v>8</v>
      </c>
      <c r="C12">
        <v>383</v>
      </c>
      <c r="D12">
        <v>170</v>
      </c>
      <c r="E12">
        <v>3563</v>
      </c>
      <c r="F12">
        <v>10</v>
      </c>
      <c r="G12">
        <v>70</v>
      </c>
      <c r="H12" t="s">
        <v>9</v>
      </c>
      <c r="I12" t="s">
        <v>20</v>
      </c>
    </row>
    <row r="13" spans="1:9" x14ac:dyDescent="0.85">
      <c r="A13">
        <v>14</v>
      </c>
      <c r="B13">
        <v>8</v>
      </c>
      <c r="C13">
        <v>340</v>
      </c>
      <c r="D13">
        <v>160</v>
      </c>
      <c r="E13">
        <v>3609</v>
      </c>
      <c r="F13">
        <v>8</v>
      </c>
      <c r="G13">
        <v>70</v>
      </c>
      <c r="H13" t="s">
        <v>9</v>
      </c>
      <c r="I13" t="s">
        <v>21</v>
      </c>
    </row>
    <row r="14" spans="1:9" x14ac:dyDescent="0.85">
      <c r="A14">
        <v>15</v>
      </c>
      <c r="B14">
        <v>8</v>
      </c>
      <c r="C14">
        <v>400</v>
      </c>
      <c r="D14">
        <v>150</v>
      </c>
      <c r="E14">
        <v>3761</v>
      </c>
      <c r="F14">
        <v>9.5</v>
      </c>
      <c r="G14">
        <v>70</v>
      </c>
      <c r="H14" t="s">
        <v>9</v>
      </c>
      <c r="I14" t="s">
        <v>22</v>
      </c>
    </row>
    <row r="15" spans="1:9" x14ac:dyDescent="0.85">
      <c r="A15">
        <v>14</v>
      </c>
      <c r="B15">
        <v>8</v>
      </c>
      <c r="C15">
        <v>455</v>
      </c>
      <c r="D15">
        <v>225</v>
      </c>
      <c r="E15">
        <v>3086</v>
      </c>
      <c r="F15">
        <v>10</v>
      </c>
      <c r="G15">
        <v>70</v>
      </c>
      <c r="H15" t="s">
        <v>9</v>
      </c>
      <c r="I15" t="s">
        <v>23</v>
      </c>
    </row>
    <row r="16" spans="1:9" x14ac:dyDescent="0.85">
      <c r="A16">
        <v>24</v>
      </c>
      <c r="B16">
        <v>4</v>
      </c>
      <c r="C16">
        <v>113</v>
      </c>
      <c r="D16">
        <v>95</v>
      </c>
      <c r="E16">
        <v>2372</v>
      </c>
      <c r="F16">
        <v>15</v>
      </c>
      <c r="G16">
        <v>70</v>
      </c>
      <c r="H16" t="s">
        <v>24</v>
      </c>
      <c r="I16" t="s">
        <v>25</v>
      </c>
    </row>
    <row r="17" spans="1:9" x14ac:dyDescent="0.85">
      <c r="A17">
        <v>22</v>
      </c>
      <c r="B17">
        <v>6</v>
      </c>
      <c r="C17">
        <v>198</v>
      </c>
      <c r="D17">
        <v>95</v>
      </c>
      <c r="E17">
        <v>2833</v>
      </c>
      <c r="F17">
        <v>15.5</v>
      </c>
      <c r="G17">
        <v>70</v>
      </c>
      <c r="H17" t="s">
        <v>9</v>
      </c>
      <c r="I17" t="s">
        <v>26</v>
      </c>
    </row>
    <row r="18" spans="1:9" x14ac:dyDescent="0.85">
      <c r="A18">
        <v>18</v>
      </c>
      <c r="B18">
        <v>6</v>
      </c>
      <c r="C18">
        <v>199</v>
      </c>
      <c r="D18">
        <v>97</v>
      </c>
      <c r="E18">
        <v>2774</v>
      </c>
      <c r="F18">
        <v>15.5</v>
      </c>
      <c r="G18">
        <v>70</v>
      </c>
      <c r="H18" t="s">
        <v>9</v>
      </c>
      <c r="I18" t="s">
        <v>27</v>
      </c>
    </row>
    <row r="19" spans="1:9" x14ac:dyDescent="0.85">
      <c r="A19">
        <v>21</v>
      </c>
      <c r="B19">
        <v>6</v>
      </c>
      <c r="C19">
        <v>200</v>
      </c>
      <c r="D19">
        <v>85</v>
      </c>
      <c r="E19">
        <v>2587</v>
      </c>
      <c r="F19">
        <v>16</v>
      </c>
      <c r="G19">
        <v>70</v>
      </c>
      <c r="H19" t="s">
        <v>9</v>
      </c>
      <c r="I19" t="s">
        <v>28</v>
      </c>
    </row>
    <row r="20" spans="1:9" x14ac:dyDescent="0.85">
      <c r="A20">
        <v>27</v>
      </c>
      <c r="B20">
        <v>4</v>
      </c>
      <c r="C20">
        <v>97</v>
      </c>
      <c r="D20">
        <v>88</v>
      </c>
      <c r="E20">
        <v>2130</v>
      </c>
      <c r="F20">
        <v>14.5</v>
      </c>
      <c r="G20">
        <v>70</v>
      </c>
      <c r="H20" t="s">
        <v>24</v>
      </c>
      <c r="I20" t="s">
        <v>29</v>
      </c>
    </row>
    <row r="21" spans="1:9" x14ac:dyDescent="0.85">
      <c r="A21">
        <v>26</v>
      </c>
      <c r="B21">
        <v>4</v>
      </c>
      <c r="C21">
        <v>97</v>
      </c>
      <c r="D21">
        <v>46</v>
      </c>
      <c r="E21">
        <v>1835</v>
      </c>
      <c r="F21">
        <v>20.5</v>
      </c>
      <c r="G21">
        <v>70</v>
      </c>
      <c r="H21" t="s">
        <v>30</v>
      </c>
      <c r="I21" t="s">
        <v>31</v>
      </c>
    </row>
    <row r="22" spans="1:9" x14ac:dyDescent="0.85">
      <c r="A22">
        <v>25</v>
      </c>
      <c r="B22">
        <v>4</v>
      </c>
      <c r="C22">
        <v>110</v>
      </c>
      <c r="D22">
        <v>87</v>
      </c>
      <c r="E22">
        <v>2672</v>
      </c>
      <c r="F22">
        <v>17.5</v>
      </c>
      <c r="G22">
        <v>70</v>
      </c>
      <c r="H22" t="s">
        <v>30</v>
      </c>
      <c r="I22" t="s">
        <v>32</v>
      </c>
    </row>
    <row r="23" spans="1:9" x14ac:dyDescent="0.85">
      <c r="A23">
        <v>24</v>
      </c>
      <c r="B23">
        <v>4</v>
      </c>
      <c r="C23">
        <v>107</v>
      </c>
      <c r="D23">
        <v>90</v>
      </c>
      <c r="E23">
        <v>2430</v>
      </c>
      <c r="F23">
        <v>14.5</v>
      </c>
      <c r="G23">
        <v>70</v>
      </c>
      <c r="H23" t="s">
        <v>30</v>
      </c>
      <c r="I23" t="s">
        <v>33</v>
      </c>
    </row>
    <row r="24" spans="1:9" x14ac:dyDescent="0.85">
      <c r="A24">
        <v>25</v>
      </c>
      <c r="B24">
        <v>4</v>
      </c>
      <c r="C24">
        <v>104</v>
      </c>
      <c r="D24">
        <v>95</v>
      </c>
      <c r="E24">
        <v>2375</v>
      </c>
      <c r="F24">
        <v>17.5</v>
      </c>
      <c r="G24">
        <v>70</v>
      </c>
      <c r="H24" t="s">
        <v>30</v>
      </c>
      <c r="I24" t="s">
        <v>34</v>
      </c>
    </row>
    <row r="25" spans="1:9" x14ac:dyDescent="0.85">
      <c r="A25">
        <v>26</v>
      </c>
      <c r="B25">
        <v>4</v>
      </c>
      <c r="C25">
        <v>121</v>
      </c>
      <c r="D25">
        <v>113</v>
      </c>
      <c r="E25">
        <v>2234</v>
      </c>
      <c r="F25">
        <v>12.5</v>
      </c>
      <c r="G25">
        <v>70</v>
      </c>
      <c r="H25" t="s">
        <v>30</v>
      </c>
      <c r="I25" t="s">
        <v>35</v>
      </c>
    </row>
    <row r="26" spans="1:9" x14ac:dyDescent="0.85">
      <c r="A26">
        <v>21</v>
      </c>
      <c r="B26">
        <v>6</v>
      </c>
      <c r="C26">
        <v>199</v>
      </c>
      <c r="D26">
        <v>90</v>
      </c>
      <c r="E26">
        <v>2648</v>
      </c>
      <c r="F26">
        <v>15</v>
      </c>
      <c r="G26">
        <v>70</v>
      </c>
      <c r="H26" t="s">
        <v>9</v>
      </c>
      <c r="I26" t="s">
        <v>36</v>
      </c>
    </row>
    <row r="27" spans="1:9" x14ac:dyDescent="0.85">
      <c r="A27">
        <v>10</v>
      </c>
      <c r="B27">
        <v>8</v>
      </c>
      <c r="C27">
        <v>360</v>
      </c>
      <c r="D27">
        <v>215</v>
      </c>
      <c r="E27">
        <v>4615</v>
      </c>
      <c r="F27">
        <v>14</v>
      </c>
      <c r="G27">
        <v>70</v>
      </c>
      <c r="H27" t="s">
        <v>9</v>
      </c>
      <c r="I27" t="s">
        <v>37</v>
      </c>
    </row>
    <row r="28" spans="1:9" x14ac:dyDescent="0.85">
      <c r="A28">
        <v>10</v>
      </c>
      <c r="B28">
        <v>8</v>
      </c>
      <c r="C28">
        <v>307</v>
      </c>
      <c r="D28">
        <v>200</v>
      </c>
      <c r="E28">
        <v>4376</v>
      </c>
      <c r="F28">
        <v>15</v>
      </c>
      <c r="G28">
        <v>70</v>
      </c>
      <c r="H28" t="s">
        <v>9</v>
      </c>
      <c r="I28" t="s">
        <v>38</v>
      </c>
    </row>
    <row r="29" spans="1:9" x14ac:dyDescent="0.85">
      <c r="A29">
        <v>11</v>
      </c>
      <c r="B29">
        <v>8</v>
      </c>
      <c r="C29">
        <v>318</v>
      </c>
      <c r="D29">
        <v>210</v>
      </c>
      <c r="E29">
        <v>4382</v>
      </c>
      <c r="F29">
        <v>13.5</v>
      </c>
      <c r="G29">
        <v>70</v>
      </c>
      <c r="H29" t="s">
        <v>9</v>
      </c>
      <c r="I29" t="s">
        <v>39</v>
      </c>
    </row>
    <row r="30" spans="1:9" x14ac:dyDescent="0.85">
      <c r="A30">
        <v>9</v>
      </c>
      <c r="B30">
        <v>8</v>
      </c>
      <c r="C30">
        <v>304</v>
      </c>
      <c r="D30">
        <v>193</v>
      </c>
      <c r="E30">
        <v>4732</v>
      </c>
      <c r="F30">
        <v>18.5</v>
      </c>
      <c r="G30">
        <v>70</v>
      </c>
      <c r="H30" t="s">
        <v>9</v>
      </c>
      <c r="I30" t="s">
        <v>40</v>
      </c>
    </row>
    <row r="31" spans="1:9" x14ac:dyDescent="0.85">
      <c r="A31">
        <v>27</v>
      </c>
      <c r="B31">
        <v>4</v>
      </c>
      <c r="C31">
        <v>97</v>
      </c>
      <c r="D31">
        <v>88</v>
      </c>
      <c r="E31">
        <v>2130</v>
      </c>
      <c r="F31">
        <v>14.5</v>
      </c>
      <c r="G31">
        <v>71</v>
      </c>
      <c r="H31" t="s">
        <v>24</v>
      </c>
      <c r="I31" t="s">
        <v>29</v>
      </c>
    </row>
    <row r="32" spans="1:9" x14ac:dyDescent="0.85">
      <c r="A32">
        <v>28</v>
      </c>
      <c r="B32">
        <v>4</v>
      </c>
      <c r="C32">
        <v>140</v>
      </c>
      <c r="D32">
        <v>90</v>
      </c>
      <c r="E32">
        <v>2264</v>
      </c>
      <c r="F32">
        <v>15.5</v>
      </c>
      <c r="G32">
        <v>71</v>
      </c>
      <c r="H32" t="s">
        <v>9</v>
      </c>
      <c r="I32" t="s">
        <v>41</v>
      </c>
    </row>
    <row r="33" spans="1:9" x14ac:dyDescent="0.85">
      <c r="A33">
        <v>25</v>
      </c>
      <c r="B33">
        <v>4</v>
      </c>
      <c r="C33">
        <v>113</v>
      </c>
      <c r="D33">
        <v>95</v>
      </c>
      <c r="E33">
        <v>2228</v>
      </c>
      <c r="F33">
        <v>14</v>
      </c>
      <c r="G33">
        <v>71</v>
      </c>
      <c r="H33" t="s">
        <v>24</v>
      </c>
      <c r="I33" t="s">
        <v>42</v>
      </c>
    </row>
    <row r="34" spans="1:9" x14ac:dyDescent="0.85">
      <c r="A34">
        <v>25</v>
      </c>
      <c r="B34">
        <v>4</v>
      </c>
      <c r="C34">
        <v>98</v>
      </c>
      <c r="E34">
        <v>2046</v>
      </c>
      <c r="F34">
        <v>19</v>
      </c>
      <c r="G34">
        <v>71</v>
      </c>
      <c r="H34" t="s">
        <v>9</v>
      </c>
      <c r="I34" t="s">
        <v>43</v>
      </c>
    </row>
    <row r="35" spans="1:9" x14ac:dyDescent="0.85">
      <c r="A35">
        <v>19</v>
      </c>
      <c r="B35">
        <v>6</v>
      </c>
      <c r="C35">
        <v>232</v>
      </c>
      <c r="D35">
        <v>100</v>
      </c>
      <c r="E35">
        <v>2634</v>
      </c>
      <c r="F35">
        <v>13</v>
      </c>
      <c r="G35">
        <v>71</v>
      </c>
      <c r="H35" t="s">
        <v>9</v>
      </c>
      <c r="I35" t="s">
        <v>36</v>
      </c>
    </row>
    <row r="36" spans="1:9" x14ac:dyDescent="0.85">
      <c r="A36">
        <v>16</v>
      </c>
      <c r="B36">
        <v>6</v>
      </c>
      <c r="C36">
        <v>225</v>
      </c>
      <c r="D36">
        <v>105</v>
      </c>
      <c r="E36">
        <v>3439</v>
      </c>
      <c r="F36">
        <v>15.5</v>
      </c>
      <c r="G36">
        <v>71</v>
      </c>
      <c r="H36" t="s">
        <v>9</v>
      </c>
      <c r="I36" t="s">
        <v>44</v>
      </c>
    </row>
    <row r="37" spans="1:9" x14ac:dyDescent="0.85">
      <c r="A37">
        <v>17</v>
      </c>
      <c r="B37">
        <v>6</v>
      </c>
      <c r="C37">
        <v>250</v>
      </c>
      <c r="D37">
        <v>100</v>
      </c>
      <c r="E37">
        <v>3329</v>
      </c>
      <c r="F37">
        <v>15.5</v>
      </c>
      <c r="G37">
        <v>71</v>
      </c>
      <c r="H37" t="s">
        <v>9</v>
      </c>
      <c r="I37" t="s">
        <v>10</v>
      </c>
    </row>
    <row r="38" spans="1:9" x14ac:dyDescent="0.85">
      <c r="A38">
        <v>19</v>
      </c>
      <c r="B38">
        <v>6</v>
      </c>
      <c r="C38">
        <v>250</v>
      </c>
      <c r="D38">
        <v>88</v>
      </c>
      <c r="E38">
        <v>3302</v>
      </c>
      <c r="F38">
        <v>15.5</v>
      </c>
      <c r="G38">
        <v>71</v>
      </c>
      <c r="H38" t="s">
        <v>9</v>
      </c>
      <c r="I38" t="s">
        <v>45</v>
      </c>
    </row>
    <row r="39" spans="1:9" x14ac:dyDescent="0.85">
      <c r="A39">
        <v>18</v>
      </c>
      <c r="B39">
        <v>6</v>
      </c>
      <c r="C39">
        <v>232</v>
      </c>
      <c r="D39">
        <v>100</v>
      </c>
      <c r="E39">
        <v>3288</v>
      </c>
      <c r="F39">
        <v>15.5</v>
      </c>
      <c r="G39">
        <v>71</v>
      </c>
      <c r="H39" t="s">
        <v>9</v>
      </c>
      <c r="I39" t="s">
        <v>46</v>
      </c>
    </row>
    <row r="40" spans="1:9" x14ac:dyDescent="0.85">
      <c r="A40">
        <v>14</v>
      </c>
      <c r="B40">
        <v>8</v>
      </c>
      <c r="C40">
        <v>350</v>
      </c>
      <c r="D40">
        <v>165</v>
      </c>
      <c r="E40">
        <v>4209</v>
      </c>
      <c r="F40">
        <v>12</v>
      </c>
      <c r="G40">
        <v>71</v>
      </c>
      <c r="H40" t="s">
        <v>9</v>
      </c>
      <c r="I40" t="s">
        <v>16</v>
      </c>
    </row>
    <row r="41" spans="1:9" x14ac:dyDescent="0.85">
      <c r="A41">
        <v>14</v>
      </c>
      <c r="B41">
        <v>8</v>
      </c>
      <c r="C41">
        <v>400</v>
      </c>
      <c r="D41">
        <v>175</v>
      </c>
      <c r="E41">
        <v>4464</v>
      </c>
      <c r="F41">
        <v>11.5</v>
      </c>
      <c r="G41">
        <v>71</v>
      </c>
      <c r="H41" t="s">
        <v>9</v>
      </c>
      <c r="I41" t="s">
        <v>47</v>
      </c>
    </row>
    <row r="42" spans="1:9" x14ac:dyDescent="0.85">
      <c r="A42">
        <v>14</v>
      </c>
      <c r="B42">
        <v>8</v>
      </c>
      <c r="C42">
        <v>351</v>
      </c>
      <c r="D42">
        <v>153</v>
      </c>
      <c r="E42">
        <v>4154</v>
      </c>
      <c r="F42">
        <v>13.5</v>
      </c>
      <c r="G42">
        <v>71</v>
      </c>
      <c r="H42" t="s">
        <v>9</v>
      </c>
      <c r="I42" t="s">
        <v>15</v>
      </c>
    </row>
    <row r="43" spans="1:9" x14ac:dyDescent="0.85">
      <c r="A43">
        <v>14</v>
      </c>
      <c r="B43">
        <v>8</v>
      </c>
      <c r="C43">
        <v>318</v>
      </c>
      <c r="D43">
        <v>150</v>
      </c>
      <c r="E43">
        <v>4096</v>
      </c>
      <c r="F43">
        <v>13</v>
      </c>
      <c r="G43">
        <v>71</v>
      </c>
      <c r="H43" t="s">
        <v>9</v>
      </c>
      <c r="I43" t="s">
        <v>17</v>
      </c>
    </row>
    <row r="44" spans="1:9" x14ac:dyDescent="0.85">
      <c r="A44">
        <v>12</v>
      </c>
      <c r="B44">
        <v>8</v>
      </c>
      <c r="C44">
        <v>383</v>
      </c>
      <c r="D44">
        <v>180</v>
      </c>
      <c r="E44">
        <v>4955</v>
      </c>
      <c r="F44">
        <v>11.5</v>
      </c>
      <c r="G44">
        <v>71</v>
      </c>
      <c r="H44" t="s">
        <v>9</v>
      </c>
      <c r="I44" t="s">
        <v>48</v>
      </c>
    </row>
    <row r="45" spans="1:9" x14ac:dyDescent="0.85">
      <c r="A45">
        <v>13</v>
      </c>
      <c r="B45">
        <v>8</v>
      </c>
      <c r="C45">
        <v>400</v>
      </c>
      <c r="D45">
        <v>170</v>
      </c>
      <c r="E45">
        <v>4746</v>
      </c>
      <c r="F45">
        <v>12</v>
      </c>
      <c r="G45">
        <v>71</v>
      </c>
      <c r="H45" t="s">
        <v>9</v>
      </c>
      <c r="I45" t="s">
        <v>49</v>
      </c>
    </row>
    <row r="46" spans="1:9" x14ac:dyDescent="0.85">
      <c r="A46">
        <v>13</v>
      </c>
      <c r="B46">
        <v>8</v>
      </c>
      <c r="C46">
        <v>400</v>
      </c>
      <c r="D46">
        <v>175</v>
      </c>
      <c r="E46">
        <v>5140</v>
      </c>
      <c r="F46">
        <v>12</v>
      </c>
      <c r="G46">
        <v>71</v>
      </c>
      <c r="H46" t="s">
        <v>9</v>
      </c>
      <c r="I46" t="s">
        <v>50</v>
      </c>
    </row>
    <row r="47" spans="1:9" x14ac:dyDescent="0.85">
      <c r="A47">
        <v>18</v>
      </c>
      <c r="B47">
        <v>6</v>
      </c>
      <c r="C47">
        <v>258</v>
      </c>
      <c r="D47">
        <v>110</v>
      </c>
      <c r="E47">
        <v>2962</v>
      </c>
      <c r="F47">
        <v>13.5</v>
      </c>
      <c r="G47">
        <v>71</v>
      </c>
      <c r="H47" t="s">
        <v>9</v>
      </c>
      <c r="I47" t="s">
        <v>51</v>
      </c>
    </row>
    <row r="48" spans="1:9" x14ac:dyDescent="0.85">
      <c r="A48">
        <v>22</v>
      </c>
      <c r="B48">
        <v>4</v>
      </c>
      <c r="C48">
        <v>140</v>
      </c>
      <c r="D48">
        <v>72</v>
      </c>
      <c r="E48">
        <v>2408</v>
      </c>
      <c r="F48">
        <v>19</v>
      </c>
      <c r="G48">
        <v>71</v>
      </c>
      <c r="H48" t="s">
        <v>9</v>
      </c>
      <c r="I48" t="s">
        <v>52</v>
      </c>
    </row>
    <row r="49" spans="1:9" x14ac:dyDescent="0.85">
      <c r="A49">
        <v>19</v>
      </c>
      <c r="B49">
        <v>6</v>
      </c>
      <c r="C49">
        <v>250</v>
      </c>
      <c r="D49">
        <v>100</v>
      </c>
      <c r="E49">
        <v>3282</v>
      </c>
      <c r="F49">
        <v>15</v>
      </c>
      <c r="G49">
        <v>71</v>
      </c>
      <c r="H49" t="s">
        <v>9</v>
      </c>
      <c r="I49" t="s">
        <v>53</v>
      </c>
    </row>
    <row r="50" spans="1:9" x14ac:dyDescent="0.85">
      <c r="A50">
        <v>18</v>
      </c>
      <c r="B50">
        <v>6</v>
      </c>
      <c r="C50">
        <v>250</v>
      </c>
      <c r="D50">
        <v>88</v>
      </c>
      <c r="E50">
        <v>3139</v>
      </c>
      <c r="F50">
        <v>14.5</v>
      </c>
      <c r="G50">
        <v>71</v>
      </c>
      <c r="H50" t="s">
        <v>9</v>
      </c>
      <c r="I50" t="s">
        <v>54</v>
      </c>
    </row>
    <row r="51" spans="1:9" x14ac:dyDescent="0.85">
      <c r="A51">
        <v>23</v>
      </c>
      <c r="B51">
        <v>4</v>
      </c>
      <c r="C51">
        <v>122</v>
      </c>
      <c r="D51">
        <v>86</v>
      </c>
      <c r="E51">
        <v>2220</v>
      </c>
      <c r="F51">
        <v>14</v>
      </c>
      <c r="G51">
        <v>71</v>
      </c>
      <c r="H51" t="s">
        <v>9</v>
      </c>
      <c r="I51" t="s">
        <v>55</v>
      </c>
    </row>
    <row r="52" spans="1:9" x14ac:dyDescent="0.85">
      <c r="A52">
        <v>28</v>
      </c>
      <c r="B52">
        <v>4</v>
      </c>
      <c r="C52">
        <v>116</v>
      </c>
      <c r="D52">
        <v>90</v>
      </c>
      <c r="E52">
        <v>2123</v>
      </c>
      <c r="F52">
        <v>14</v>
      </c>
      <c r="G52">
        <v>71</v>
      </c>
      <c r="H52" t="s">
        <v>30</v>
      </c>
      <c r="I52" t="s">
        <v>56</v>
      </c>
    </row>
    <row r="53" spans="1:9" x14ac:dyDescent="0.85">
      <c r="A53">
        <v>30</v>
      </c>
      <c r="B53">
        <v>4</v>
      </c>
      <c r="C53">
        <v>79</v>
      </c>
      <c r="D53">
        <v>70</v>
      </c>
      <c r="E53">
        <v>2074</v>
      </c>
      <c r="F53">
        <v>19.5</v>
      </c>
      <c r="G53">
        <v>71</v>
      </c>
      <c r="H53" t="s">
        <v>30</v>
      </c>
      <c r="I53" t="s">
        <v>57</v>
      </c>
    </row>
    <row r="54" spans="1:9" x14ac:dyDescent="0.85">
      <c r="A54">
        <v>30</v>
      </c>
      <c r="B54">
        <v>4</v>
      </c>
      <c r="C54">
        <v>88</v>
      </c>
      <c r="D54">
        <v>76</v>
      </c>
      <c r="E54">
        <v>2065</v>
      </c>
      <c r="F54">
        <v>14.5</v>
      </c>
      <c r="G54">
        <v>71</v>
      </c>
      <c r="H54" t="s">
        <v>30</v>
      </c>
      <c r="I54" t="s">
        <v>58</v>
      </c>
    </row>
    <row r="55" spans="1:9" x14ac:dyDescent="0.85">
      <c r="A55">
        <v>31</v>
      </c>
      <c r="B55">
        <v>4</v>
      </c>
      <c r="C55">
        <v>71</v>
      </c>
      <c r="D55">
        <v>65</v>
      </c>
      <c r="E55">
        <v>1773</v>
      </c>
      <c r="F55">
        <v>19</v>
      </c>
      <c r="G55">
        <v>71</v>
      </c>
      <c r="H55" t="s">
        <v>24</v>
      </c>
      <c r="I55" t="s">
        <v>59</v>
      </c>
    </row>
    <row r="56" spans="1:9" x14ac:dyDescent="0.85">
      <c r="A56">
        <v>35</v>
      </c>
      <c r="B56">
        <v>4</v>
      </c>
      <c r="C56">
        <v>72</v>
      </c>
      <c r="D56">
        <v>69</v>
      </c>
      <c r="E56">
        <v>1613</v>
      </c>
      <c r="F56">
        <v>18</v>
      </c>
      <c r="G56">
        <v>71</v>
      </c>
      <c r="H56" t="s">
        <v>24</v>
      </c>
      <c r="I56" t="s">
        <v>60</v>
      </c>
    </row>
    <row r="57" spans="1:9" x14ac:dyDescent="0.85">
      <c r="A57">
        <v>27</v>
      </c>
      <c r="B57">
        <v>4</v>
      </c>
      <c r="C57">
        <v>97</v>
      </c>
      <c r="D57">
        <v>60</v>
      </c>
      <c r="E57">
        <v>1834</v>
      </c>
      <c r="F57">
        <v>19</v>
      </c>
      <c r="G57">
        <v>71</v>
      </c>
      <c r="H57" t="s">
        <v>30</v>
      </c>
      <c r="I57" t="s">
        <v>61</v>
      </c>
    </row>
    <row r="58" spans="1:9" x14ac:dyDescent="0.85">
      <c r="A58">
        <v>26</v>
      </c>
      <c r="B58">
        <v>4</v>
      </c>
      <c r="C58">
        <v>91</v>
      </c>
      <c r="D58">
        <v>70</v>
      </c>
      <c r="E58">
        <v>1955</v>
      </c>
      <c r="F58">
        <v>20.5</v>
      </c>
      <c r="G58">
        <v>71</v>
      </c>
      <c r="H58" t="s">
        <v>9</v>
      </c>
      <c r="I58" t="s">
        <v>62</v>
      </c>
    </row>
    <row r="59" spans="1:9" x14ac:dyDescent="0.85">
      <c r="A59">
        <v>24</v>
      </c>
      <c r="B59">
        <v>4</v>
      </c>
      <c r="C59">
        <v>113</v>
      </c>
      <c r="D59">
        <v>95</v>
      </c>
      <c r="E59">
        <v>2278</v>
      </c>
      <c r="F59">
        <v>15.5</v>
      </c>
      <c r="G59">
        <v>72</v>
      </c>
      <c r="H59" t="s">
        <v>24</v>
      </c>
      <c r="I59" t="s">
        <v>63</v>
      </c>
    </row>
    <row r="60" spans="1:9" x14ac:dyDescent="0.85">
      <c r="A60">
        <v>25</v>
      </c>
      <c r="B60">
        <v>4</v>
      </c>
      <c r="C60">
        <v>97.5</v>
      </c>
      <c r="D60">
        <v>80</v>
      </c>
      <c r="E60">
        <v>2126</v>
      </c>
      <c r="F60">
        <v>17</v>
      </c>
      <c r="G60">
        <v>72</v>
      </c>
      <c r="H60" t="s">
        <v>9</v>
      </c>
      <c r="I60" t="s">
        <v>64</v>
      </c>
    </row>
    <row r="61" spans="1:9" x14ac:dyDescent="0.85">
      <c r="A61">
        <v>23</v>
      </c>
      <c r="B61">
        <v>4</v>
      </c>
      <c r="C61">
        <v>97</v>
      </c>
      <c r="D61">
        <v>54</v>
      </c>
      <c r="E61">
        <v>2254</v>
      </c>
      <c r="F61">
        <v>23.5</v>
      </c>
      <c r="G61">
        <v>72</v>
      </c>
      <c r="H61" t="s">
        <v>30</v>
      </c>
      <c r="I61" t="s">
        <v>65</v>
      </c>
    </row>
    <row r="62" spans="1:9" x14ac:dyDescent="0.85">
      <c r="A62">
        <v>20</v>
      </c>
      <c r="B62">
        <v>4</v>
      </c>
      <c r="C62">
        <v>140</v>
      </c>
      <c r="D62">
        <v>90</v>
      </c>
      <c r="E62">
        <v>2408</v>
      </c>
      <c r="F62">
        <v>19.5</v>
      </c>
      <c r="G62">
        <v>72</v>
      </c>
      <c r="H62" t="s">
        <v>9</v>
      </c>
      <c r="I62" t="s">
        <v>66</v>
      </c>
    </row>
    <row r="63" spans="1:9" x14ac:dyDescent="0.85">
      <c r="A63">
        <v>21</v>
      </c>
      <c r="B63">
        <v>4</v>
      </c>
      <c r="C63">
        <v>122</v>
      </c>
      <c r="D63">
        <v>86</v>
      </c>
      <c r="E63">
        <v>2226</v>
      </c>
      <c r="F63">
        <v>16.5</v>
      </c>
      <c r="G63">
        <v>72</v>
      </c>
      <c r="H63" t="s">
        <v>9</v>
      </c>
      <c r="I63" t="s">
        <v>67</v>
      </c>
    </row>
    <row r="64" spans="1:9" x14ac:dyDescent="0.85">
      <c r="A64">
        <v>13</v>
      </c>
      <c r="B64">
        <v>8</v>
      </c>
      <c r="C64">
        <v>350</v>
      </c>
      <c r="D64">
        <v>165</v>
      </c>
      <c r="E64">
        <v>4274</v>
      </c>
      <c r="F64">
        <v>12</v>
      </c>
      <c r="G64">
        <v>72</v>
      </c>
      <c r="H64" t="s">
        <v>9</v>
      </c>
      <c r="I64" t="s">
        <v>16</v>
      </c>
    </row>
    <row r="65" spans="1:9" x14ac:dyDescent="0.85">
      <c r="A65">
        <v>14</v>
      </c>
      <c r="B65">
        <v>8</v>
      </c>
      <c r="C65">
        <v>400</v>
      </c>
      <c r="D65">
        <v>175</v>
      </c>
      <c r="E65">
        <v>4385</v>
      </c>
      <c r="F65">
        <v>12</v>
      </c>
      <c r="G65">
        <v>72</v>
      </c>
      <c r="H65" t="s">
        <v>9</v>
      </c>
      <c r="I65" t="s">
        <v>18</v>
      </c>
    </row>
    <row r="66" spans="1:9" x14ac:dyDescent="0.85">
      <c r="A66">
        <v>15</v>
      </c>
      <c r="B66">
        <v>8</v>
      </c>
      <c r="C66">
        <v>318</v>
      </c>
      <c r="D66">
        <v>150</v>
      </c>
      <c r="E66">
        <v>4135</v>
      </c>
      <c r="F66">
        <v>13.5</v>
      </c>
      <c r="G66">
        <v>72</v>
      </c>
      <c r="H66" t="s">
        <v>9</v>
      </c>
      <c r="I66" t="s">
        <v>17</v>
      </c>
    </row>
    <row r="67" spans="1:9" x14ac:dyDescent="0.85">
      <c r="A67">
        <v>14</v>
      </c>
      <c r="B67">
        <v>8</v>
      </c>
      <c r="C67">
        <v>351</v>
      </c>
      <c r="D67">
        <v>153</v>
      </c>
      <c r="E67">
        <v>4129</v>
      </c>
      <c r="F67">
        <v>13</v>
      </c>
      <c r="G67">
        <v>72</v>
      </c>
      <c r="H67" t="s">
        <v>9</v>
      </c>
      <c r="I67" t="s">
        <v>15</v>
      </c>
    </row>
    <row r="68" spans="1:9" x14ac:dyDescent="0.85">
      <c r="A68">
        <v>17</v>
      </c>
      <c r="B68">
        <v>8</v>
      </c>
      <c r="C68">
        <v>304</v>
      </c>
      <c r="D68">
        <v>150</v>
      </c>
      <c r="E68">
        <v>3672</v>
      </c>
      <c r="F68">
        <v>11.5</v>
      </c>
      <c r="G68">
        <v>72</v>
      </c>
      <c r="H68" t="s">
        <v>9</v>
      </c>
      <c r="I68" t="s">
        <v>68</v>
      </c>
    </row>
    <row r="69" spans="1:9" x14ac:dyDescent="0.85">
      <c r="A69">
        <v>11</v>
      </c>
      <c r="B69">
        <v>8</v>
      </c>
      <c r="C69">
        <v>429</v>
      </c>
      <c r="D69">
        <v>208</v>
      </c>
      <c r="E69">
        <v>4633</v>
      </c>
      <c r="F69">
        <v>11</v>
      </c>
      <c r="G69">
        <v>72</v>
      </c>
      <c r="H69" t="s">
        <v>9</v>
      </c>
      <c r="I69" t="s">
        <v>69</v>
      </c>
    </row>
    <row r="70" spans="1:9" x14ac:dyDescent="0.85">
      <c r="A70">
        <v>13</v>
      </c>
      <c r="B70">
        <v>8</v>
      </c>
      <c r="C70">
        <v>350</v>
      </c>
      <c r="D70">
        <v>155</v>
      </c>
      <c r="E70">
        <v>4502</v>
      </c>
      <c r="F70">
        <v>13.5</v>
      </c>
      <c r="G70">
        <v>72</v>
      </c>
      <c r="H70" t="s">
        <v>9</v>
      </c>
      <c r="I70" t="s">
        <v>70</v>
      </c>
    </row>
    <row r="71" spans="1:9" x14ac:dyDescent="0.85">
      <c r="A71">
        <v>12</v>
      </c>
      <c r="B71">
        <v>8</v>
      </c>
      <c r="C71">
        <v>350</v>
      </c>
      <c r="D71">
        <v>160</v>
      </c>
      <c r="E71">
        <v>4456</v>
      </c>
      <c r="F71">
        <v>13.5</v>
      </c>
      <c r="G71">
        <v>72</v>
      </c>
      <c r="H71" t="s">
        <v>9</v>
      </c>
      <c r="I71" t="s">
        <v>71</v>
      </c>
    </row>
    <row r="72" spans="1:9" x14ac:dyDescent="0.85">
      <c r="A72">
        <v>13</v>
      </c>
      <c r="B72">
        <v>8</v>
      </c>
      <c r="C72">
        <v>400</v>
      </c>
      <c r="D72">
        <v>190</v>
      </c>
      <c r="E72">
        <v>4422</v>
      </c>
      <c r="F72">
        <v>12.5</v>
      </c>
      <c r="G72">
        <v>72</v>
      </c>
      <c r="H72" t="s">
        <v>9</v>
      </c>
      <c r="I72" t="s">
        <v>72</v>
      </c>
    </row>
    <row r="73" spans="1:9" x14ac:dyDescent="0.85">
      <c r="A73">
        <v>19</v>
      </c>
      <c r="B73">
        <v>3</v>
      </c>
      <c r="C73">
        <v>70</v>
      </c>
      <c r="D73">
        <v>97</v>
      </c>
      <c r="E73">
        <v>2330</v>
      </c>
      <c r="F73">
        <v>13.5</v>
      </c>
      <c r="G73">
        <v>72</v>
      </c>
      <c r="H73" t="s">
        <v>24</v>
      </c>
      <c r="I73" t="s">
        <v>73</v>
      </c>
    </row>
    <row r="74" spans="1:9" x14ac:dyDescent="0.85">
      <c r="A74">
        <v>15</v>
      </c>
      <c r="B74">
        <v>8</v>
      </c>
      <c r="C74">
        <v>304</v>
      </c>
      <c r="D74">
        <v>150</v>
      </c>
      <c r="E74">
        <v>3892</v>
      </c>
      <c r="F74">
        <v>12.5</v>
      </c>
      <c r="G74">
        <v>72</v>
      </c>
      <c r="H74" t="s">
        <v>9</v>
      </c>
      <c r="I74" t="s">
        <v>74</v>
      </c>
    </row>
    <row r="75" spans="1:9" x14ac:dyDescent="0.85">
      <c r="A75">
        <v>13</v>
      </c>
      <c r="B75">
        <v>8</v>
      </c>
      <c r="C75">
        <v>307</v>
      </c>
      <c r="D75">
        <v>130</v>
      </c>
      <c r="E75">
        <v>4098</v>
      </c>
      <c r="F75">
        <v>14</v>
      </c>
      <c r="G75">
        <v>72</v>
      </c>
      <c r="H75" t="s">
        <v>9</v>
      </c>
      <c r="I75" t="s">
        <v>75</v>
      </c>
    </row>
    <row r="76" spans="1:9" x14ac:dyDescent="0.85">
      <c r="A76">
        <v>13</v>
      </c>
      <c r="B76">
        <v>8</v>
      </c>
      <c r="C76">
        <v>302</v>
      </c>
      <c r="D76">
        <v>140</v>
      </c>
      <c r="E76">
        <v>4294</v>
      </c>
      <c r="F76">
        <v>16</v>
      </c>
      <c r="G76">
        <v>72</v>
      </c>
      <c r="H76" t="s">
        <v>9</v>
      </c>
      <c r="I76" t="s">
        <v>76</v>
      </c>
    </row>
    <row r="77" spans="1:9" x14ac:dyDescent="0.85">
      <c r="A77">
        <v>14</v>
      </c>
      <c r="B77">
        <v>8</v>
      </c>
      <c r="C77">
        <v>318</v>
      </c>
      <c r="D77">
        <v>150</v>
      </c>
      <c r="E77">
        <v>4077</v>
      </c>
      <c r="F77">
        <v>14</v>
      </c>
      <c r="G77">
        <v>72</v>
      </c>
      <c r="H77" t="s">
        <v>9</v>
      </c>
      <c r="I77" t="s">
        <v>77</v>
      </c>
    </row>
    <row r="78" spans="1:9" x14ac:dyDescent="0.85">
      <c r="A78">
        <v>18</v>
      </c>
      <c r="B78">
        <v>4</v>
      </c>
      <c r="C78">
        <v>121</v>
      </c>
      <c r="D78">
        <v>112</v>
      </c>
      <c r="E78">
        <v>2933</v>
      </c>
      <c r="F78">
        <v>14.5</v>
      </c>
      <c r="G78">
        <v>72</v>
      </c>
      <c r="H78" t="s">
        <v>30</v>
      </c>
      <c r="I78" t="s">
        <v>78</v>
      </c>
    </row>
    <row r="79" spans="1:9" x14ac:dyDescent="0.85">
      <c r="A79">
        <v>22</v>
      </c>
      <c r="B79">
        <v>4</v>
      </c>
      <c r="C79">
        <v>121</v>
      </c>
      <c r="D79">
        <v>76</v>
      </c>
      <c r="E79">
        <v>2511</v>
      </c>
      <c r="F79">
        <v>18</v>
      </c>
      <c r="G79">
        <v>72</v>
      </c>
      <c r="H79" t="s">
        <v>30</v>
      </c>
      <c r="I79" t="s">
        <v>79</v>
      </c>
    </row>
    <row r="80" spans="1:9" x14ac:dyDescent="0.85">
      <c r="A80">
        <v>21</v>
      </c>
      <c r="B80">
        <v>4</v>
      </c>
      <c r="C80">
        <v>120</v>
      </c>
      <c r="D80">
        <v>87</v>
      </c>
      <c r="E80">
        <v>2979</v>
      </c>
      <c r="F80">
        <v>19.5</v>
      </c>
      <c r="G80">
        <v>72</v>
      </c>
      <c r="H80" t="s">
        <v>30</v>
      </c>
      <c r="I80" t="s">
        <v>80</v>
      </c>
    </row>
    <row r="81" spans="1:9" x14ac:dyDescent="0.85">
      <c r="A81">
        <v>26</v>
      </c>
      <c r="B81">
        <v>4</v>
      </c>
      <c r="C81">
        <v>96</v>
      </c>
      <c r="D81">
        <v>69</v>
      </c>
      <c r="E81">
        <v>2189</v>
      </c>
      <c r="F81">
        <v>18</v>
      </c>
      <c r="G81">
        <v>72</v>
      </c>
      <c r="H81" t="s">
        <v>30</v>
      </c>
      <c r="I81" t="s">
        <v>81</v>
      </c>
    </row>
    <row r="82" spans="1:9" x14ac:dyDescent="0.85">
      <c r="A82">
        <v>22</v>
      </c>
      <c r="B82">
        <v>4</v>
      </c>
      <c r="C82">
        <v>122</v>
      </c>
      <c r="D82">
        <v>86</v>
      </c>
      <c r="E82">
        <v>2395</v>
      </c>
      <c r="F82">
        <v>16</v>
      </c>
      <c r="G82">
        <v>72</v>
      </c>
      <c r="H82" t="s">
        <v>9</v>
      </c>
      <c r="I82" t="s">
        <v>82</v>
      </c>
    </row>
    <row r="83" spans="1:9" x14ac:dyDescent="0.85">
      <c r="A83">
        <v>28</v>
      </c>
      <c r="B83">
        <v>4</v>
      </c>
      <c r="C83">
        <v>97</v>
      </c>
      <c r="D83">
        <v>92</v>
      </c>
      <c r="E83">
        <v>2288</v>
      </c>
      <c r="F83">
        <v>17</v>
      </c>
      <c r="G83">
        <v>72</v>
      </c>
      <c r="H83" t="s">
        <v>24</v>
      </c>
      <c r="I83" t="s">
        <v>83</v>
      </c>
    </row>
    <row r="84" spans="1:9" x14ac:dyDescent="0.85">
      <c r="A84">
        <v>23</v>
      </c>
      <c r="B84">
        <v>4</v>
      </c>
      <c r="C84">
        <v>120</v>
      </c>
      <c r="D84">
        <v>97</v>
      </c>
      <c r="E84">
        <v>2506</v>
      </c>
      <c r="F84">
        <v>14.5</v>
      </c>
      <c r="G84">
        <v>72</v>
      </c>
      <c r="H84" t="s">
        <v>24</v>
      </c>
      <c r="I84" t="s">
        <v>84</v>
      </c>
    </row>
    <row r="85" spans="1:9" x14ac:dyDescent="0.85">
      <c r="A85">
        <v>28</v>
      </c>
      <c r="B85">
        <v>4</v>
      </c>
      <c r="C85">
        <v>98</v>
      </c>
      <c r="D85">
        <v>80</v>
      </c>
      <c r="E85">
        <v>2164</v>
      </c>
      <c r="F85">
        <v>15</v>
      </c>
      <c r="G85">
        <v>72</v>
      </c>
      <c r="H85" t="s">
        <v>9</v>
      </c>
      <c r="I85" t="s">
        <v>85</v>
      </c>
    </row>
    <row r="86" spans="1:9" x14ac:dyDescent="0.85">
      <c r="A86">
        <v>27</v>
      </c>
      <c r="B86">
        <v>4</v>
      </c>
      <c r="C86">
        <v>97</v>
      </c>
      <c r="D86">
        <v>88</v>
      </c>
      <c r="E86">
        <v>2100</v>
      </c>
      <c r="F86">
        <v>16.5</v>
      </c>
      <c r="G86">
        <v>72</v>
      </c>
      <c r="H86" t="s">
        <v>24</v>
      </c>
      <c r="I86" t="s">
        <v>86</v>
      </c>
    </row>
    <row r="87" spans="1:9" x14ac:dyDescent="0.85">
      <c r="A87">
        <v>13</v>
      </c>
      <c r="B87">
        <v>8</v>
      </c>
      <c r="C87">
        <v>350</v>
      </c>
      <c r="D87">
        <v>175</v>
      </c>
      <c r="E87">
        <v>4100</v>
      </c>
      <c r="F87">
        <v>13</v>
      </c>
      <c r="G87">
        <v>73</v>
      </c>
      <c r="H87" t="s">
        <v>9</v>
      </c>
      <c r="I87" t="s">
        <v>87</v>
      </c>
    </row>
    <row r="88" spans="1:9" x14ac:dyDescent="0.85">
      <c r="A88">
        <v>14</v>
      </c>
      <c r="B88">
        <v>8</v>
      </c>
      <c r="C88">
        <v>304</v>
      </c>
      <c r="D88">
        <v>150</v>
      </c>
      <c r="E88">
        <v>3672</v>
      </c>
      <c r="F88">
        <v>11.5</v>
      </c>
      <c r="G88">
        <v>73</v>
      </c>
      <c r="H88" t="s">
        <v>9</v>
      </c>
      <c r="I88" t="s">
        <v>46</v>
      </c>
    </row>
    <row r="89" spans="1:9" x14ac:dyDescent="0.85">
      <c r="A89">
        <v>13</v>
      </c>
      <c r="B89">
        <v>8</v>
      </c>
      <c r="C89">
        <v>350</v>
      </c>
      <c r="D89">
        <v>145</v>
      </c>
      <c r="E89">
        <v>3988</v>
      </c>
      <c r="F89">
        <v>13</v>
      </c>
      <c r="G89">
        <v>73</v>
      </c>
      <c r="H89" t="s">
        <v>9</v>
      </c>
      <c r="I89" t="s">
        <v>88</v>
      </c>
    </row>
    <row r="90" spans="1:9" x14ac:dyDescent="0.85">
      <c r="A90">
        <v>14</v>
      </c>
      <c r="B90">
        <v>8</v>
      </c>
      <c r="C90">
        <v>302</v>
      </c>
      <c r="D90">
        <v>137</v>
      </c>
      <c r="E90">
        <v>4042</v>
      </c>
      <c r="F90">
        <v>14.5</v>
      </c>
      <c r="G90">
        <v>73</v>
      </c>
      <c r="H90" t="s">
        <v>9</v>
      </c>
      <c r="I90" t="s">
        <v>89</v>
      </c>
    </row>
    <row r="91" spans="1:9" x14ac:dyDescent="0.85">
      <c r="A91">
        <v>15</v>
      </c>
      <c r="B91">
        <v>8</v>
      </c>
      <c r="C91">
        <v>318</v>
      </c>
      <c r="D91">
        <v>150</v>
      </c>
      <c r="E91">
        <v>3777</v>
      </c>
      <c r="F91">
        <v>12.5</v>
      </c>
      <c r="G91">
        <v>73</v>
      </c>
      <c r="H91" t="s">
        <v>9</v>
      </c>
      <c r="I91" t="s">
        <v>90</v>
      </c>
    </row>
    <row r="92" spans="1:9" x14ac:dyDescent="0.85">
      <c r="A92">
        <v>12</v>
      </c>
      <c r="B92">
        <v>8</v>
      </c>
      <c r="C92">
        <v>429</v>
      </c>
      <c r="D92">
        <v>198</v>
      </c>
      <c r="E92">
        <v>4952</v>
      </c>
      <c r="F92">
        <v>11.5</v>
      </c>
      <c r="G92">
        <v>73</v>
      </c>
      <c r="H92" t="s">
        <v>9</v>
      </c>
      <c r="I92" t="s">
        <v>91</v>
      </c>
    </row>
    <row r="93" spans="1:9" x14ac:dyDescent="0.85">
      <c r="A93">
        <v>13</v>
      </c>
      <c r="B93">
        <v>8</v>
      </c>
      <c r="C93">
        <v>400</v>
      </c>
      <c r="D93">
        <v>150</v>
      </c>
      <c r="E93">
        <v>4464</v>
      </c>
      <c r="F93">
        <v>12</v>
      </c>
      <c r="G93">
        <v>73</v>
      </c>
      <c r="H93" t="s">
        <v>9</v>
      </c>
      <c r="I93" t="s">
        <v>92</v>
      </c>
    </row>
    <row r="94" spans="1:9" x14ac:dyDescent="0.85">
      <c r="A94">
        <v>13</v>
      </c>
      <c r="B94">
        <v>8</v>
      </c>
      <c r="C94">
        <v>351</v>
      </c>
      <c r="D94">
        <v>158</v>
      </c>
      <c r="E94">
        <v>4363</v>
      </c>
      <c r="F94">
        <v>13</v>
      </c>
      <c r="G94">
        <v>73</v>
      </c>
      <c r="H94" t="s">
        <v>9</v>
      </c>
      <c r="I94" t="s">
        <v>93</v>
      </c>
    </row>
    <row r="95" spans="1:9" x14ac:dyDescent="0.85">
      <c r="A95">
        <v>14</v>
      </c>
      <c r="B95">
        <v>8</v>
      </c>
      <c r="C95">
        <v>318</v>
      </c>
      <c r="D95">
        <v>150</v>
      </c>
      <c r="E95">
        <v>4237</v>
      </c>
      <c r="F95">
        <v>14.5</v>
      </c>
      <c r="G95">
        <v>73</v>
      </c>
      <c r="H95" t="s">
        <v>9</v>
      </c>
      <c r="I95" t="s">
        <v>94</v>
      </c>
    </row>
    <row r="96" spans="1:9" x14ac:dyDescent="0.85">
      <c r="A96">
        <v>13</v>
      </c>
      <c r="B96">
        <v>8</v>
      </c>
      <c r="C96">
        <v>440</v>
      </c>
      <c r="D96">
        <v>215</v>
      </c>
      <c r="E96">
        <v>4735</v>
      </c>
      <c r="F96">
        <v>11</v>
      </c>
      <c r="G96">
        <v>73</v>
      </c>
      <c r="H96" t="s">
        <v>9</v>
      </c>
      <c r="I96" t="s">
        <v>95</v>
      </c>
    </row>
    <row r="97" spans="1:9" x14ac:dyDescent="0.85">
      <c r="A97">
        <v>12</v>
      </c>
      <c r="B97">
        <v>8</v>
      </c>
      <c r="C97">
        <v>455</v>
      </c>
      <c r="D97">
        <v>225</v>
      </c>
      <c r="E97">
        <v>4951</v>
      </c>
      <c r="F97">
        <v>11</v>
      </c>
      <c r="G97">
        <v>73</v>
      </c>
      <c r="H97" t="s">
        <v>9</v>
      </c>
      <c r="I97" t="s">
        <v>96</v>
      </c>
    </row>
    <row r="98" spans="1:9" x14ac:dyDescent="0.85">
      <c r="A98">
        <v>13</v>
      </c>
      <c r="B98">
        <v>8</v>
      </c>
      <c r="C98">
        <v>360</v>
      </c>
      <c r="D98">
        <v>175</v>
      </c>
      <c r="E98">
        <v>3821</v>
      </c>
      <c r="F98">
        <v>11</v>
      </c>
      <c r="G98">
        <v>73</v>
      </c>
      <c r="H98" t="s">
        <v>9</v>
      </c>
      <c r="I98" t="s">
        <v>97</v>
      </c>
    </row>
    <row r="99" spans="1:9" x14ac:dyDescent="0.85">
      <c r="A99">
        <v>18</v>
      </c>
      <c r="B99">
        <v>6</v>
      </c>
      <c r="C99">
        <v>225</v>
      </c>
      <c r="D99">
        <v>105</v>
      </c>
      <c r="E99">
        <v>3121</v>
      </c>
      <c r="F99">
        <v>16.5</v>
      </c>
      <c r="G99">
        <v>73</v>
      </c>
      <c r="H99" t="s">
        <v>9</v>
      </c>
      <c r="I99" t="s">
        <v>98</v>
      </c>
    </row>
    <row r="100" spans="1:9" x14ac:dyDescent="0.85">
      <c r="A100">
        <v>16</v>
      </c>
      <c r="B100">
        <v>6</v>
      </c>
      <c r="C100">
        <v>250</v>
      </c>
      <c r="D100">
        <v>100</v>
      </c>
      <c r="E100">
        <v>3278</v>
      </c>
      <c r="F100">
        <v>18</v>
      </c>
      <c r="G100">
        <v>73</v>
      </c>
      <c r="H100" t="s">
        <v>9</v>
      </c>
      <c r="I100" t="s">
        <v>99</v>
      </c>
    </row>
    <row r="101" spans="1:9" x14ac:dyDescent="0.85">
      <c r="A101">
        <v>18</v>
      </c>
      <c r="B101">
        <v>6</v>
      </c>
      <c r="C101">
        <v>232</v>
      </c>
      <c r="D101">
        <v>100</v>
      </c>
      <c r="E101">
        <v>2945</v>
      </c>
      <c r="F101">
        <v>16</v>
      </c>
      <c r="G101">
        <v>73</v>
      </c>
      <c r="H101" t="s">
        <v>9</v>
      </c>
      <c r="I101" t="s">
        <v>27</v>
      </c>
    </row>
    <row r="102" spans="1:9" x14ac:dyDescent="0.85">
      <c r="A102">
        <v>18</v>
      </c>
      <c r="B102">
        <v>6</v>
      </c>
      <c r="C102">
        <v>250</v>
      </c>
      <c r="D102">
        <v>88</v>
      </c>
      <c r="E102">
        <v>3021</v>
      </c>
      <c r="F102">
        <v>16.5</v>
      </c>
      <c r="G102">
        <v>73</v>
      </c>
      <c r="H102" t="s">
        <v>9</v>
      </c>
      <c r="I102" t="s">
        <v>28</v>
      </c>
    </row>
    <row r="103" spans="1:9" x14ac:dyDescent="0.85">
      <c r="A103">
        <v>23</v>
      </c>
      <c r="B103">
        <v>6</v>
      </c>
      <c r="C103">
        <v>198</v>
      </c>
      <c r="D103">
        <v>95</v>
      </c>
      <c r="E103">
        <v>2904</v>
      </c>
      <c r="F103">
        <v>16</v>
      </c>
      <c r="G103">
        <v>73</v>
      </c>
      <c r="H103" t="s">
        <v>9</v>
      </c>
      <c r="I103" t="s">
        <v>26</v>
      </c>
    </row>
    <row r="104" spans="1:9" x14ac:dyDescent="0.85">
      <c r="A104">
        <v>26</v>
      </c>
      <c r="B104">
        <v>4</v>
      </c>
      <c r="C104">
        <v>97</v>
      </c>
      <c r="D104">
        <v>46</v>
      </c>
      <c r="E104">
        <v>1950</v>
      </c>
      <c r="F104">
        <v>21</v>
      </c>
      <c r="G104">
        <v>73</v>
      </c>
      <c r="H104" t="s">
        <v>30</v>
      </c>
      <c r="I104" t="s">
        <v>100</v>
      </c>
    </row>
    <row r="105" spans="1:9" x14ac:dyDescent="0.85">
      <c r="A105">
        <v>11</v>
      </c>
      <c r="B105">
        <v>8</v>
      </c>
      <c r="C105">
        <v>400</v>
      </c>
      <c r="D105">
        <v>150</v>
      </c>
      <c r="E105">
        <v>4997</v>
      </c>
      <c r="F105">
        <v>14</v>
      </c>
      <c r="G105">
        <v>73</v>
      </c>
      <c r="H105" t="s">
        <v>9</v>
      </c>
      <c r="I105" t="s">
        <v>16</v>
      </c>
    </row>
    <row r="106" spans="1:9" x14ac:dyDescent="0.85">
      <c r="A106">
        <v>12</v>
      </c>
      <c r="B106">
        <v>8</v>
      </c>
      <c r="C106">
        <v>400</v>
      </c>
      <c r="D106">
        <v>167</v>
      </c>
      <c r="E106">
        <v>4906</v>
      </c>
      <c r="F106">
        <v>12.5</v>
      </c>
      <c r="G106">
        <v>73</v>
      </c>
      <c r="H106" t="s">
        <v>9</v>
      </c>
      <c r="I106" t="s">
        <v>101</v>
      </c>
    </row>
    <row r="107" spans="1:9" x14ac:dyDescent="0.85">
      <c r="A107">
        <v>13</v>
      </c>
      <c r="B107">
        <v>8</v>
      </c>
      <c r="C107">
        <v>360</v>
      </c>
      <c r="D107">
        <v>170</v>
      </c>
      <c r="E107">
        <v>4654</v>
      </c>
      <c r="F107">
        <v>13</v>
      </c>
      <c r="G107">
        <v>73</v>
      </c>
      <c r="H107" t="s">
        <v>9</v>
      </c>
      <c r="I107" t="s">
        <v>102</v>
      </c>
    </row>
    <row r="108" spans="1:9" x14ac:dyDescent="0.85">
      <c r="A108">
        <v>12</v>
      </c>
      <c r="B108">
        <v>8</v>
      </c>
      <c r="C108">
        <v>350</v>
      </c>
      <c r="D108">
        <v>180</v>
      </c>
      <c r="E108">
        <v>4499</v>
      </c>
      <c r="F108">
        <v>12.5</v>
      </c>
      <c r="G108">
        <v>73</v>
      </c>
      <c r="H108" t="s">
        <v>9</v>
      </c>
      <c r="I108" t="s">
        <v>103</v>
      </c>
    </row>
    <row r="109" spans="1:9" x14ac:dyDescent="0.85">
      <c r="A109">
        <v>18</v>
      </c>
      <c r="B109">
        <v>6</v>
      </c>
      <c r="C109">
        <v>232</v>
      </c>
      <c r="D109">
        <v>100</v>
      </c>
      <c r="E109">
        <v>2789</v>
      </c>
      <c r="F109">
        <v>15</v>
      </c>
      <c r="G109">
        <v>73</v>
      </c>
      <c r="H109" t="s">
        <v>9</v>
      </c>
      <c r="I109" t="s">
        <v>36</v>
      </c>
    </row>
    <row r="110" spans="1:9" x14ac:dyDescent="0.85">
      <c r="A110">
        <v>20</v>
      </c>
      <c r="B110">
        <v>4</v>
      </c>
      <c r="C110">
        <v>97</v>
      </c>
      <c r="D110">
        <v>88</v>
      </c>
      <c r="E110">
        <v>2279</v>
      </c>
      <c r="F110">
        <v>19</v>
      </c>
      <c r="G110">
        <v>73</v>
      </c>
      <c r="H110" t="s">
        <v>24</v>
      </c>
      <c r="I110" t="s">
        <v>104</v>
      </c>
    </row>
    <row r="111" spans="1:9" x14ac:dyDescent="0.85">
      <c r="A111">
        <v>21</v>
      </c>
      <c r="B111">
        <v>4</v>
      </c>
      <c r="C111">
        <v>140</v>
      </c>
      <c r="D111">
        <v>72</v>
      </c>
      <c r="E111">
        <v>2401</v>
      </c>
      <c r="F111">
        <v>19.5</v>
      </c>
      <c r="G111">
        <v>73</v>
      </c>
      <c r="H111" t="s">
        <v>9</v>
      </c>
      <c r="I111" t="s">
        <v>66</v>
      </c>
    </row>
    <row r="112" spans="1:9" x14ac:dyDescent="0.85">
      <c r="A112">
        <v>22</v>
      </c>
      <c r="B112">
        <v>4</v>
      </c>
      <c r="C112">
        <v>108</v>
      </c>
      <c r="D112">
        <v>94</v>
      </c>
      <c r="E112">
        <v>2379</v>
      </c>
      <c r="F112">
        <v>16.5</v>
      </c>
      <c r="G112">
        <v>73</v>
      </c>
      <c r="H112" t="s">
        <v>24</v>
      </c>
      <c r="I112" t="s">
        <v>105</v>
      </c>
    </row>
    <row r="113" spans="1:9" x14ac:dyDescent="0.85">
      <c r="A113">
        <v>18</v>
      </c>
      <c r="B113">
        <v>3</v>
      </c>
      <c r="C113">
        <v>70</v>
      </c>
      <c r="D113">
        <v>90</v>
      </c>
      <c r="E113">
        <v>2124</v>
      </c>
      <c r="F113">
        <v>13.5</v>
      </c>
      <c r="G113">
        <v>73</v>
      </c>
      <c r="H113" t="s">
        <v>24</v>
      </c>
      <c r="I113" t="s">
        <v>106</v>
      </c>
    </row>
    <row r="114" spans="1:9" x14ac:dyDescent="0.85">
      <c r="A114">
        <v>19</v>
      </c>
      <c r="B114">
        <v>4</v>
      </c>
      <c r="C114">
        <v>122</v>
      </c>
      <c r="D114">
        <v>85</v>
      </c>
      <c r="E114">
        <v>2310</v>
      </c>
      <c r="F114">
        <v>18.5</v>
      </c>
      <c r="G114">
        <v>73</v>
      </c>
      <c r="H114" t="s">
        <v>9</v>
      </c>
      <c r="I114" t="s">
        <v>43</v>
      </c>
    </row>
    <row r="115" spans="1:9" x14ac:dyDescent="0.85">
      <c r="A115">
        <v>21</v>
      </c>
      <c r="B115">
        <v>6</v>
      </c>
      <c r="C115">
        <v>155</v>
      </c>
      <c r="D115">
        <v>107</v>
      </c>
      <c r="E115">
        <v>2472</v>
      </c>
      <c r="F115">
        <v>14</v>
      </c>
      <c r="G115">
        <v>73</v>
      </c>
      <c r="H115" t="s">
        <v>9</v>
      </c>
      <c r="I115" t="s">
        <v>107</v>
      </c>
    </row>
    <row r="116" spans="1:9" x14ac:dyDescent="0.85">
      <c r="A116">
        <v>26</v>
      </c>
      <c r="B116">
        <v>4</v>
      </c>
      <c r="C116">
        <v>98</v>
      </c>
      <c r="D116">
        <v>90</v>
      </c>
      <c r="E116">
        <v>2265</v>
      </c>
      <c r="F116">
        <v>15.5</v>
      </c>
      <c r="G116">
        <v>73</v>
      </c>
      <c r="H116" t="s">
        <v>30</v>
      </c>
      <c r="I116" t="s">
        <v>108</v>
      </c>
    </row>
    <row r="117" spans="1:9" x14ac:dyDescent="0.85">
      <c r="A117">
        <v>15</v>
      </c>
      <c r="B117">
        <v>8</v>
      </c>
      <c r="C117">
        <v>350</v>
      </c>
      <c r="D117">
        <v>145</v>
      </c>
      <c r="E117">
        <v>4082</v>
      </c>
      <c r="F117">
        <v>13</v>
      </c>
      <c r="G117">
        <v>73</v>
      </c>
      <c r="H117" t="s">
        <v>9</v>
      </c>
      <c r="I117" t="s">
        <v>109</v>
      </c>
    </row>
    <row r="118" spans="1:9" x14ac:dyDescent="0.85">
      <c r="A118">
        <v>16</v>
      </c>
      <c r="B118">
        <v>8</v>
      </c>
      <c r="C118">
        <v>400</v>
      </c>
      <c r="D118">
        <v>230</v>
      </c>
      <c r="E118">
        <v>4278</v>
      </c>
      <c r="F118">
        <v>9.5</v>
      </c>
      <c r="G118">
        <v>73</v>
      </c>
      <c r="H118" t="s">
        <v>9</v>
      </c>
      <c r="I118" t="s">
        <v>110</v>
      </c>
    </row>
    <row r="119" spans="1:9" x14ac:dyDescent="0.85">
      <c r="A119">
        <v>29</v>
      </c>
      <c r="B119">
        <v>4</v>
      </c>
      <c r="C119">
        <v>68</v>
      </c>
      <c r="D119">
        <v>49</v>
      </c>
      <c r="E119">
        <v>1867</v>
      </c>
      <c r="F119">
        <v>19.5</v>
      </c>
      <c r="G119">
        <v>73</v>
      </c>
      <c r="H119" t="s">
        <v>30</v>
      </c>
      <c r="I119" t="s">
        <v>111</v>
      </c>
    </row>
    <row r="120" spans="1:9" x14ac:dyDescent="0.85">
      <c r="A120">
        <v>24</v>
      </c>
      <c r="B120">
        <v>4</v>
      </c>
      <c r="C120">
        <v>116</v>
      </c>
      <c r="D120">
        <v>75</v>
      </c>
      <c r="E120">
        <v>2158</v>
      </c>
      <c r="F120">
        <v>15.5</v>
      </c>
      <c r="G120">
        <v>73</v>
      </c>
      <c r="H120" t="s">
        <v>30</v>
      </c>
      <c r="I120" t="s">
        <v>112</v>
      </c>
    </row>
    <row r="121" spans="1:9" x14ac:dyDescent="0.85">
      <c r="A121">
        <v>20</v>
      </c>
      <c r="B121">
        <v>4</v>
      </c>
      <c r="C121">
        <v>114</v>
      </c>
      <c r="D121">
        <v>91</v>
      </c>
      <c r="E121">
        <v>2582</v>
      </c>
      <c r="F121">
        <v>14</v>
      </c>
      <c r="G121">
        <v>73</v>
      </c>
      <c r="H121" t="s">
        <v>30</v>
      </c>
      <c r="I121" t="s">
        <v>113</v>
      </c>
    </row>
    <row r="122" spans="1:9" x14ac:dyDescent="0.85">
      <c r="A122">
        <v>19</v>
      </c>
      <c r="B122">
        <v>4</v>
      </c>
      <c r="C122">
        <v>121</v>
      </c>
      <c r="D122">
        <v>112</v>
      </c>
      <c r="E122">
        <v>2868</v>
      </c>
      <c r="F122">
        <v>15.5</v>
      </c>
      <c r="G122">
        <v>73</v>
      </c>
      <c r="H122" t="s">
        <v>30</v>
      </c>
      <c r="I122" t="s">
        <v>114</v>
      </c>
    </row>
    <row r="123" spans="1:9" x14ac:dyDescent="0.85">
      <c r="A123">
        <v>15</v>
      </c>
      <c r="B123">
        <v>8</v>
      </c>
      <c r="C123">
        <v>318</v>
      </c>
      <c r="D123">
        <v>150</v>
      </c>
      <c r="E123">
        <v>3399</v>
      </c>
      <c r="F123">
        <v>11</v>
      </c>
      <c r="G123">
        <v>73</v>
      </c>
      <c r="H123" t="s">
        <v>9</v>
      </c>
      <c r="I123" t="s">
        <v>115</v>
      </c>
    </row>
    <row r="124" spans="1:9" x14ac:dyDescent="0.85">
      <c r="A124">
        <v>24</v>
      </c>
      <c r="B124">
        <v>4</v>
      </c>
      <c r="C124">
        <v>121</v>
      </c>
      <c r="D124">
        <v>110</v>
      </c>
      <c r="E124">
        <v>2660</v>
      </c>
      <c r="F124">
        <v>14</v>
      </c>
      <c r="G124">
        <v>73</v>
      </c>
      <c r="H124" t="s">
        <v>30</v>
      </c>
      <c r="I124" t="s">
        <v>116</v>
      </c>
    </row>
    <row r="125" spans="1:9" x14ac:dyDescent="0.85">
      <c r="A125">
        <v>20</v>
      </c>
      <c r="B125">
        <v>6</v>
      </c>
      <c r="C125">
        <v>156</v>
      </c>
      <c r="D125">
        <v>122</v>
      </c>
      <c r="E125">
        <v>2807</v>
      </c>
      <c r="F125">
        <v>13.5</v>
      </c>
      <c r="G125">
        <v>73</v>
      </c>
      <c r="H125" t="s">
        <v>24</v>
      </c>
      <c r="I125" t="s">
        <v>117</v>
      </c>
    </row>
    <row r="126" spans="1:9" x14ac:dyDescent="0.85">
      <c r="A126">
        <v>11</v>
      </c>
      <c r="B126">
        <v>8</v>
      </c>
      <c r="C126">
        <v>350</v>
      </c>
      <c r="D126">
        <v>180</v>
      </c>
      <c r="E126">
        <v>3664</v>
      </c>
      <c r="F126">
        <v>11</v>
      </c>
      <c r="G126">
        <v>73</v>
      </c>
      <c r="H126" t="s">
        <v>9</v>
      </c>
      <c r="I126" t="s">
        <v>118</v>
      </c>
    </row>
    <row r="127" spans="1:9" x14ac:dyDescent="0.85">
      <c r="A127">
        <v>20</v>
      </c>
      <c r="B127">
        <v>6</v>
      </c>
      <c r="C127">
        <v>198</v>
      </c>
      <c r="D127">
        <v>95</v>
      </c>
      <c r="E127">
        <v>3102</v>
      </c>
      <c r="F127">
        <v>16.5</v>
      </c>
      <c r="G127">
        <v>74</v>
      </c>
      <c r="H127" t="s">
        <v>9</v>
      </c>
      <c r="I127" t="s">
        <v>26</v>
      </c>
    </row>
    <row r="128" spans="1:9" x14ac:dyDescent="0.85">
      <c r="A128">
        <v>21</v>
      </c>
      <c r="B128">
        <v>6</v>
      </c>
      <c r="C128">
        <v>200</v>
      </c>
      <c r="E128">
        <v>2875</v>
      </c>
      <c r="F128">
        <v>17</v>
      </c>
      <c r="G128">
        <v>74</v>
      </c>
      <c r="H128" t="s">
        <v>9</v>
      </c>
      <c r="I128" t="s">
        <v>28</v>
      </c>
    </row>
    <row r="129" spans="1:9" x14ac:dyDescent="0.85">
      <c r="A129">
        <v>19</v>
      </c>
      <c r="B129">
        <v>6</v>
      </c>
      <c r="C129">
        <v>232</v>
      </c>
      <c r="D129">
        <v>100</v>
      </c>
      <c r="E129">
        <v>2901</v>
      </c>
      <c r="F129">
        <v>16</v>
      </c>
      <c r="G129">
        <v>74</v>
      </c>
      <c r="H129" t="s">
        <v>9</v>
      </c>
      <c r="I129" t="s">
        <v>27</v>
      </c>
    </row>
    <row r="130" spans="1:9" x14ac:dyDescent="0.85">
      <c r="A130">
        <v>15</v>
      </c>
      <c r="B130">
        <v>6</v>
      </c>
      <c r="C130">
        <v>250</v>
      </c>
      <c r="D130">
        <v>100</v>
      </c>
      <c r="E130">
        <v>3336</v>
      </c>
      <c r="F130">
        <v>17</v>
      </c>
      <c r="G130">
        <v>74</v>
      </c>
      <c r="H130" t="s">
        <v>9</v>
      </c>
      <c r="I130" t="s">
        <v>119</v>
      </c>
    </row>
    <row r="131" spans="1:9" x14ac:dyDescent="0.85">
      <c r="A131">
        <v>31</v>
      </c>
      <c r="B131">
        <v>4</v>
      </c>
      <c r="C131">
        <v>79</v>
      </c>
      <c r="D131">
        <v>67</v>
      </c>
      <c r="E131">
        <v>1950</v>
      </c>
      <c r="F131">
        <v>19</v>
      </c>
      <c r="G131">
        <v>74</v>
      </c>
      <c r="H131" t="s">
        <v>24</v>
      </c>
      <c r="I131" t="s">
        <v>120</v>
      </c>
    </row>
    <row r="132" spans="1:9" x14ac:dyDescent="0.85">
      <c r="A132">
        <v>26</v>
      </c>
      <c r="B132">
        <v>4</v>
      </c>
      <c r="C132">
        <v>122</v>
      </c>
      <c r="D132">
        <v>80</v>
      </c>
      <c r="E132">
        <v>2451</v>
      </c>
      <c r="F132">
        <v>16.5</v>
      </c>
      <c r="G132">
        <v>74</v>
      </c>
      <c r="H132" t="s">
        <v>9</v>
      </c>
      <c r="I132" t="s">
        <v>43</v>
      </c>
    </row>
    <row r="133" spans="1:9" x14ac:dyDescent="0.85">
      <c r="A133">
        <v>32</v>
      </c>
      <c r="B133">
        <v>4</v>
      </c>
      <c r="C133">
        <v>71</v>
      </c>
      <c r="D133">
        <v>65</v>
      </c>
      <c r="E133">
        <v>1836</v>
      </c>
      <c r="F133">
        <v>21</v>
      </c>
      <c r="G133">
        <v>74</v>
      </c>
      <c r="H133" t="s">
        <v>24</v>
      </c>
      <c r="I133" t="s">
        <v>59</v>
      </c>
    </row>
    <row r="134" spans="1:9" x14ac:dyDescent="0.85">
      <c r="A134">
        <v>25</v>
      </c>
      <c r="B134">
        <v>4</v>
      </c>
      <c r="C134">
        <v>140</v>
      </c>
      <c r="D134">
        <v>75</v>
      </c>
      <c r="E134">
        <v>2542</v>
      </c>
      <c r="F134">
        <v>17</v>
      </c>
      <c r="G134">
        <v>74</v>
      </c>
      <c r="H134" t="s">
        <v>9</v>
      </c>
      <c r="I134" t="s">
        <v>66</v>
      </c>
    </row>
    <row r="135" spans="1:9" x14ac:dyDescent="0.85">
      <c r="A135">
        <v>16</v>
      </c>
      <c r="B135">
        <v>6</v>
      </c>
      <c r="C135">
        <v>250</v>
      </c>
      <c r="D135">
        <v>100</v>
      </c>
      <c r="E135">
        <v>3781</v>
      </c>
      <c r="F135">
        <v>17</v>
      </c>
      <c r="G135">
        <v>74</v>
      </c>
      <c r="H135" t="s">
        <v>9</v>
      </c>
      <c r="I135" t="s">
        <v>121</v>
      </c>
    </row>
    <row r="136" spans="1:9" x14ac:dyDescent="0.85">
      <c r="A136">
        <v>16</v>
      </c>
      <c r="B136">
        <v>6</v>
      </c>
      <c r="C136">
        <v>258</v>
      </c>
      <c r="D136">
        <v>110</v>
      </c>
      <c r="E136">
        <v>3632</v>
      </c>
      <c r="F136">
        <v>18</v>
      </c>
      <c r="G136">
        <v>74</v>
      </c>
      <c r="H136" t="s">
        <v>9</v>
      </c>
      <c r="I136" t="s">
        <v>46</v>
      </c>
    </row>
    <row r="137" spans="1:9" x14ac:dyDescent="0.85">
      <c r="A137">
        <v>18</v>
      </c>
      <c r="B137">
        <v>6</v>
      </c>
      <c r="C137">
        <v>225</v>
      </c>
      <c r="D137">
        <v>105</v>
      </c>
      <c r="E137">
        <v>3613</v>
      </c>
      <c r="F137">
        <v>16.5</v>
      </c>
      <c r="G137">
        <v>74</v>
      </c>
      <c r="H137" t="s">
        <v>9</v>
      </c>
      <c r="I137" t="s">
        <v>122</v>
      </c>
    </row>
    <row r="138" spans="1:9" x14ac:dyDescent="0.85">
      <c r="A138">
        <v>16</v>
      </c>
      <c r="B138">
        <v>8</v>
      </c>
      <c r="C138">
        <v>302</v>
      </c>
      <c r="D138">
        <v>140</v>
      </c>
      <c r="E138">
        <v>4141</v>
      </c>
      <c r="F138">
        <v>14</v>
      </c>
      <c r="G138">
        <v>74</v>
      </c>
      <c r="H138" t="s">
        <v>9</v>
      </c>
      <c r="I138" t="s">
        <v>89</v>
      </c>
    </row>
    <row r="139" spans="1:9" x14ac:dyDescent="0.85">
      <c r="A139">
        <v>13</v>
      </c>
      <c r="B139">
        <v>8</v>
      </c>
      <c r="C139">
        <v>350</v>
      </c>
      <c r="D139">
        <v>150</v>
      </c>
      <c r="E139">
        <v>4699</v>
      </c>
      <c r="F139">
        <v>14.5</v>
      </c>
      <c r="G139">
        <v>74</v>
      </c>
      <c r="H139" t="s">
        <v>9</v>
      </c>
      <c r="I139" t="s">
        <v>123</v>
      </c>
    </row>
    <row r="140" spans="1:9" x14ac:dyDescent="0.85">
      <c r="A140">
        <v>14</v>
      </c>
      <c r="B140">
        <v>8</v>
      </c>
      <c r="C140">
        <v>318</v>
      </c>
      <c r="D140">
        <v>150</v>
      </c>
      <c r="E140">
        <v>4457</v>
      </c>
      <c r="F140">
        <v>13.5</v>
      </c>
      <c r="G140">
        <v>74</v>
      </c>
      <c r="H140" t="s">
        <v>9</v>
      </c>
      <c r="I140" t="s">
        <v>124</v>
      </c>
    </row>
    <row r="141" spans="1:9" x14ac:dyDescent="0.85">
      <c r="A141">
        <v>14</v>
      </c>
      <c r="B141">
        <v>8</v>
      </c>
      <c r="C141">
        <v>302</v>
      </c>
      <c r="D141">
        <v>140</v>
      </c>
      <c r="E141">
        <v>4638</v>
      </c>
      <c r="F141">
        <v>16</v>
      </c>
      <c r="G141">
        <v>74</v>
      </c>
      <c r="H141" t="s">
        <v>9</v>
      </c>
      <c r="I141" t="s">
        <v>76</v>
      </c>
    </row>
    <row r="142" spans="1:9" x14ac:dyDescent="0.85">
      <c r="A142">
        <v>14</v>
      </c>
      <c r="B142">
        <v>8</v>
      </c>
      <c r="C142">
        <v>304</v>
      </c>
      <c r="D142">
        <v>150</v>
      </c>
      <c r="E142">
        <v>4257</v>
      </c>
      <c r="F142">
        <v>15.5</v>
      </c>
      <c r="G142">
        <v>74</v>
      </c>
      <c r="H142" t="s">
        <v>9</v>
      </c>
      <c r="I142" t="s">
        <v>74</v>
      </c>
    </row>
    <row r="143" spans="1:9" x14ac:dyDescent="0.85">
      <c r="A143">
        <v>29</v>
      </c>
      <c r="B143">
        <v>4</v>
      </c>
      <c r="C143">
        <v>98</v>
      </c>
      <c r="D143">
        <v>83</v>
      </c>
      <c r="E143">
        <v>2219</v>
      </c>
      <c r="F143">
        <v>16.5</v>
      </c>
      <c r="G143">
        <v>74</v>
      </c>
      <c r="H143" t="s">
        <v>30</v>
      </c>
      <c r="I143" t="s">
        <v>125</v>
      </c>
    </row>
    <row r="144" spans="1:9" x14ac:dyDescent="0.85">
      <c r="A144">
        <v>26</v>
      </c>
      <c r="B144">
        <v>4</v>
      </c>
      <c r="C144">
        <v>79</v>
      </c>
      <c r="D144">
        <v>67</v>
      </c>
      <c r="E144">
        <v>1963</v>
      </c>
      <c r="F144">
        <v>15.5</v>
      </c>
      <c r="G144">
        <v>74</v>
      </c>
      <c r="H144" t="s">
        <v>30</v>
      </c>
      <c r="I144" t="s">
        <v>126</v>
      </c>
    </row>
    <row r="145" spans="1:9" x14ac:dyDescent="0.85">
      <c r="A145">
        <v>26</v>
      </c>
      <c r="B145">
        <v>4</v>
      </c>
      <c r="C145">
        <v>97</v>
      </c>
      <c r="D145">
        <v>78</v>
      </c>
      <c r="E145">
        <v>2300</v>
      </c>
      <c r="F145">
        <v>14.5</v>
      </c>
      <c r="G145">
        <v>74</v>
      </c>
      <c r="H145" t="s">
        <v>30</v>
      </c>
      <c r="I145" t="s">
        <v>112</v>
      </c>
    </row>
    <row r="146" spans="1:9" x14ac:dyDescent="0.85">
      <c r="A146">
        <v>31</v>
      </c>
      <c r="B146">
        <v>4</v>
      </c>
      <c r="C146">
        <v>76</v>
      </c>
      <c r="D146">
        <v>52</v>
      </c>
      <c r="E146">
        <v>1649</v>
      </c>
      <c r="F146">
        <v>16.5</v>
      </c>
      <c r="G146">
        <v>74</v>
      </c>
      <c r="H146" t="s">
        <v>24</v>
      </c>
      <c r="I146" t="s">
        <v>42</v>
      </c>
    </row>
    <row r="147" spans="1:9" x14ac:dyDescent="0.85">
      <c r="A147">
        <v>32</v>
      </c>
      <c r="B147">
        <v>4</v>
      </c>
      <c r="C147">
        <v>83</v>
      </c>
      <c r="D147">
        <v>61</v>
      </c>
      <c r="E147">
        <v>2003</v>
      </c>
      <c r="F147">
        <v>19</v>
      </c>
      <c r="G147">
        <v>74</v>
      </c>
      <c r="H147" t="s">
        <v>24</v>
      </c>
      <c r="I147" t="s">
        <v>127</v>
      </c>
    </row>
    <row r="148" spans="1:9" x14ac:dyDescent="0.85">
      <c r="A148">
        <v>28</v>
      </c>
      <c r="B148">
        <v>4</v>
      </c>
      <c r="C148">
        <v>90</v>
      </c>
      <c r="D148">
        <v>75</v>
      </c>
      <c r="E148">
        <v>2125</v>
      </c>
      <c r="F148">
        <v>14.5</v>
      </c>
      <c r="G148">
        <v>74</v>
      </c>
      <c r="H148" t="s">
        <v>9</v>
      </c>
      <c r="I148" t="s">
        <v>128</v>
      </c>
    </row>
    <row r="149" spans="1:9" x14ac:dyDescent="0.85">
      <c r="A149">
        <v>24</v>
      </c>
      <c r="B149">
        <v>4</v>
      </c>
      <c r="C149">
        <v>90</v>
      </c>
      <c r="D149">
        <v>75</v>
      </c>
      <c r="E149">
        <v>2108</v>
      </c>
      <c r="F149">
        <v>15.5</v>
      </c>
      <c r="G149">
        <v>74</v>
      </c>
      <c r="H149" t="s">
        <v>30</v>
      </c>
      <c r="I149" t="s">
        <v>111</v>
      </c>
    </row>
    <row r="150" spans="1:9" x14ac:dyDescent="0.85">
      <c r="A150">
        <v>26</v>
      </c>
      <c r="B150">
        <v>4</v>
      </c>
      <c r="C150">
        <v>116</v>
      </c>
      <c r="D150">
        <v>75</v>
      </c>
      <c r="E150">
        <v>2246</v>
      </c>
      <c r="F150">
        <v>14</v>
      </c>
      <c r="G150">
        <v>74</v>
      </c>
      <c r="H150" t="s">
        <v>30</v>
      </c>
      <c r="I150" t="s">
        <v>129</v>
      </c>
    </row>
    <row r="151" spans="1:9" x14ac:dyDescent="0.85">
      <c r="A151">
        <v>24</v>
      </c>
      <c r="B151">
        <v>4</v>
      </c>
      <c r="C151">
        <v>120</v>
      </c>
      <c r="D151">
        <v>97</v>
      </c>
      <c r="E151">
        <v>2489</v>
      </c>
      <c r="F151">
        <v>15</v>
      </c>
      <c r="G151">
        <v>74</v>
      </c>
      <c r="H151" t="s">
        <v>24</v>
      </c>
      <c r="I151" t="s">
        <v>130</v>
      </c>
    </row>
    <row r="152" spans="1:9" x14ac:dyDescent="0.85">
      <c r="A152">
        <v>26</v>
      </c>
      <c r="B152">
        <v>4</v>
      </c>
      <c r="C152">
        <v>108</v>
      </c>
      <c r="D152">
        <v>93</v>
      </c>
      <c r="E152">
        <v>2391</v>
      </c>
      <c r="F152">
        <v>15.5</v>
      </c>
      <c r="G152">
        <v>74</v>
      </c>
      <c r="H152" t="s">
        <v>24</v>
      </c>
      <c r="I152" t="s">
        <v>131</v>
      </c>
    </row>
    <row r="153" spans="1:9" x14ac:dyDescent="0.85">
      <c r="A153">
        <v>31</v>
      </c>
      <c r="B153">
        <v>4</v>
      </c>
      <c r="C153">
        <v>79</v>
      </c>
      <c r="D153">
        <v>67</v>
      </c>
      <c r="E153">
        <v>2000</v>
      </c>
      <c r="F153">
        <v>16</v>
      </c>
      <c r="G153">
        <v>74</v>
      </c>
      <c r="H153" t="s">
        <v>30</v>
      </c>
      <c r="I153" t="s">
        <v>132</v>
      </c>
    </row>
    <row r="154" spans="1:9" x14ac:dyDescent="0.85">
      <c r="A154">
        <v>19</v>
      </c>
      <c r="B154">
        <v>6</v>
      </c>
      <c r="C154">
        <v>225</v>
      </c>
      <c r="D154">
        <v>95</v>
      </c>
      <c r="E154">
        <v>3264</v>
      </c>
      <c r="F154">
        <v>16</v>
      </c>
      <c r="G154">
        <v>75</v>
      </c>
      <c r="H154" t="s">
        <v>9</v>
      </c>
      <c r="I154" t="s">
        <v>133</v>
      </c>
    </row>
    <row r="155" spans="1:9" x14ac:dyDescent="0.85">
      <c r="A155">
        <v>18</v>
      </c>
      <c r="B155">
        <v>6</v>
      </c>
      <c r="C155">
        <v>250</v>
      </c>
      <c r="D155">
        <v>105</v>
      </c>
      <c r="E155">
        <v>3459</v>
      </c>
      <c r="F155">
        <v>16</v>
      </c>
      <c r="G155">
        <v>75</v>
      </c>
      <c r="H155" t="s">
        <v>9</v>
      </c>
      <c r="I155" t="s">
        <v>119</v>
      </c>
    </row>
    <row r="156" spans="1:9" x14ac:dyDescent="0.85">
      <c r="A156">
        <v>15</v>
      </c>
      <c r="B156">
        <v>6</v>
      </c>
      <c r="C156">
        <v>250</v>
      </c>
      <c r="D156">
        <v>72</v>
      </c>
      <c r="E156">
        <v>3432</v>
      </c>
      <c r="F156">
        <v>21</v>
      </c>
      <c r="G156">
        <v>75</v>
      </c>
      <c r="H156" t="s">
        <v>9</v>
      </c>
      <c r="I156" t="s">
        <v>134</v>
      </c>
    </row>
    <row r="157" spans="1:9" x14ac:dyDescent="0.85">
      <c r="A157">
        <v>15</v>
      </c>
      <c r="B157">
        <v>6</v>
      </c>
      <c r="C157">
        <v>250</v>
      </c>
      <c r="D157">
        <v>72</v>
      </c>
      <c r="E157">
        <v>3158</v>
      </c>
      <c r="F157">
        <v>19.5</v>
      </c>
      <c r="G157">
        <v>75</v>
      </c>
      <c r="H157" t="s">
        <v>9</v>
      </c>
      <c r="I157" t="s">
        <v>28</v>
      </c>
    </row>
    <row r="158" spans="1:9" x14ac:dyDescent="0.85">
      <c r="A158">
        <v>16</v>
      </c>
      <c r="B158">
        <v>8</v>
      </c>
      <c r="C158">
        <v>400</v>
      </c>
      <c r="D158">
        <v>170</v>
      </c>
      <c r="E158">
        <v>4668</v>
      </c>
      <c r="F158">
        <v>11.5</v>
      </c>
      <c r="G158">
        <v>75</v>
      </c>
      <c r="H158" t="s">
        <v>9</v>
      </c>
      <c r="I158" t="s">
        <v>18</v>
      </c>
    </row>
    <row r="159" spans="1:9" x14ac:dyDescent="0.85">
      <c r="A159">
        <v>15</v>
      </c>
      <c r="B159">
        <v>8</v>
      </c>
      <c r="C159">
        <v>350</v>
      </c>
      <c r="D159">
        <v>145</v>
      </c>
      <c r="E159">
        <v>4440</v>
      </c>
      <c r="F159">
        <v>14</v>
      </c>
      <c r="G159">
        <v>75</v>
      </c>
      <c r="H159" t="s">
        <v>9</v>
      </c>
      <c r="I159" t="s">
        <v>135</v>
      </c>
    </row>
    <row r="160" spans="1:9" x14ac:dyDescent="0.85">
      <c r="A160">
        <v>16</v>
      </c>
      <c r="B160">
        <v>8</v>
      </c>
      <c r="C160">
        <v>318</v>
      </c>
      <c r="D160">
        <v>150</v>
      </c>
      <c r="E160">
        <v>4498</v>
      </c>
      <c r="F160">
        <v>14.5</v>
      </c>
      <c r="G160">
        <v>75</v>
      </c>
      <c r="H160" t="s">
        <v>9</v>
      </c>
      <c r="I160" t="s">
        <v>136</v>
      </c>
    </row>
    <row r="161" spans="1:9" x14ac:dyDescent="0.85">
      <c r="A161">
        <v>14</v>
      </c>
      <c r="B161">
        <v>8</v>
      </c>
      <c r="C161">
        <v>351</v>
      </c>
      <c r="D161">
        <v>148</v>
      </c>
      <c r="E161">
        <v>4657</v>
      </c>
      <c r="F161">
        <v>13.5</v>
      </c>
      <c r="G161">
        <v>75</v>
      </c>
      <c r="H161" t="s">
        <v>9</v>
      </c>
      <c r="I161" t="s">
        <v>93</v>
      </c>
    </row>
    <row r="162" spans="1:9" x14ac:dyDescent="0.85">
      <c r="A162">
        <v>17</v>
      </c>
      <c r="B162">
        <v>6</v>
      </c>
      <c r="C162">
        <v>231</v>
      </c>
      <c r="D162">
        <v>110</v>
      </c>
      <c r="E162">
        <v>3907</v>
      </c>
      <c r="F162">
        <v>21</v>
      </c>
      <c r="G162">
        <v>75</v>
      </c>
      <c r="H162" t="s">
        <v>9</v>
      </c>
      <c r="I162" t="s">
        <v>137</v>
      </c>
    </row>
    <row r="163" spans="1:9" x14ac:dyDescent="0.85">
      <c r="A163">
        <v>16</v>
      </c>
      <c r="B163">
        <v>6</v>
      </c>
      <c r="C163">
        <v>250</v>
      </c>
      <c r="D163">
        <v>105</v>
      </c>
      <c r="E163">
        <v>3897</v>
      </c>
      <c r="F163">
        <v>18.5</v>
      </c>
      <c r="G163">
        <v>75</v>
      </c>
      <c r="H163" t="s">
        <v>9</v>
      </c>
      <c r="I163" t="s">
        <v>138</v>
      </c>
    </row>
    <row r="164" spans="1:9" x14ac:dyDescent="0.85">
      <c r="A164">
        <v>15</v>
      </c>
      <c r="B164">
        <v>6</v>
      </c>
      <c r="C164">
        <v>258</v>
      </c>
      <c r="D164">
        <v>110</v>
      </c>
      <c r="E164">
        <v>3730</v>
      </c>
      <c r="F164">
        <v>19</v>
      </c>
      <c r="G164">
        <v>75</v>
      </c>
      <c r="H164" t="s">
        <v>9</v>
      </c>
      <c r="I164" t="s">
        <v>46</v>
      </c>
    </row>
    <row r="165" spans="1:9" x14ac:dyDescent="0.85">
      <c r="A165">
        <v>18</v>
      </c>
      <c r="B165">
        <v>6</v>
      </c>
      <c r="C165">
        <v>225</v>
      </c>
      <c r="D165">
        <v>95</v>
      </c>
      <c r="E165">
        <v>3785</v>
      </c>
      <c r="F165">
        <v>19</v>
      </c>
      <c r="G165">
        <v>75</v>
      </c>
      <c r="H165" t="s">
        <v>9</v>
      </c>
      <c r="I165" t="s">
        <v>139</v>
      </c>
    </row>
    <row r="166" spans="1:9" x14ac:dyDescent="0.85">
      <c r="A166">
        <v>21</v>
      </c>
      <c r="B166">
        <v>6</v>
      </c>
      <c r="C166">
        <v>231</v>
      </c>
      <c r="D166">
        <v>110</v>
      </c>
      <c r="E166">
        <v>3039</v>
      </c>
      <c r="F166">
        <v>15</v>
      </c>
      <c r="G166">
        <v>75</v>
      </c>
      <c r="H166" t="s">
        <v>9</v>
      </c>
      <c r="I166" t="s">
        <v>140</v>
      </c>
    </row>
    <row r="167" spans="1:9" x14ac:dyDescent="0.85">
      <c r="A167">
        <v>20</v>
      </c>
      <c r="B167">
        <v>8</v>
      </c>
      <c r="C167">
        <v>262</v>
      </c>
      <c r="D167">
        <v>110</v>
      </c>
      <c r="E167">
        <v>3221</v>
      </c>
      <c r="F167">
        <v>13.5</v>
      </c>
      <c r="G167">
        <v>75</v>
      </c>
      <c r="H167" t="s">
        <v>9</v>
      </c>
      <c r="I167" t="s">
        <v>141</v>
      </c>
    </row>
    <row r="168" spans="1:9" x14ac:dyDescent="0.85">
      <c r="A168">
        <v>13</v>
      </c>
      <c r="B168">
        <v>8</v>
      </c>
      <c r="C168">
        <v>302</v>
      </c>
      <c r="D168">
        <v>129</v>
      </c>
      <c r="E168">
        <v>3169</v>
      </c>
      <c r="F168">
        <v>12</v>
      </c>
      <c r="G168">
        <v>75</v>
      </c>
      <c r="H168" t="s">
        <v>9</v>
      </c>
      <c r="I168" t="s">
        <v>142</v>
      </c>
    </row>
    <row r="169" spans="1:9" x14ac:dyDescent="0.85">
      <c r="A169">
        <v>29</v>
      </c>
      <c r="B169">
        <v>4</v>
      </c>
      <c r="C169">
        <v>97</v>
      </c>
      <c r="D169">
        <v>75</v>
      </c>
      <c r="E169">
        <v>2171</v>
      </c>
      <c r="F169">
        <v>16</v>
      </c>
      <c r="G169">
        <v>75</v>
      </c>
      <c r="H169" t="s">
        <v>24</v>
      </c>
      <c r="I169" t="s">
        <v>143</v>
      </c>
    </row>
    <row r="170" spans="1:9" x14ac:dyDescent="0.85">
      <c r="A170">
        <v>23</v>
      </c>
      <c r="B170">
        <v>4</v>
      </c>
      <c r="C170">
        <v>140</v>
      </c>
      <c r="D170">
        <v>83</v>
      </c>
      <c r="E170">
        <v>2639</v>
      </c>
      <c r="F170">
        <v>17</v>
      </c>
      <c r="G170">
        <v>75</v>
      </c>
      <c r="H170" t="s">
        <v>9</v>
      </c>
      <c r="I170" t="s">
        <v>43</v>
      </c>
    </row>
    <row r="171" spans="1:9" x14ac:dyDescent="0.85">
      <c r="A171">
        <v>20</v>
      </c>
      <c r="B171">
        <v>6</v>
      </c>
      <c r="C171">
        <v>232</v>
      </c>
      <c r="D171">
        <v>100</v>
      </c>
      <c r="E171">
        <v>2914</v>
      </c>
      <c r="F171">
        <v>16</v>
      </c>
      <c r="G171">
        <v>75</v>
      </c>
      <c r="H171" t="s">
        <v>9</v>
      </c>
      <c r="I171" t="s">
        <v>36</v>
      </c>
    </row>
    <row r="172" spans="1:9" x14ac:dyDescent="0.85">
      <c r="A172">
        <v>23</v>
      </c>
      <c r="B172">
        <v>4</v>
      </c>
      <c r="C172">
        <v>140</v>
      </c>
      <c r="D172">
        <v>78</v>
      </c>
      <c r="E172">
        <v>2592</v>
      </c>
      <c r="F172">
        <v>18.5</v>
      </c>
      <c r="G172">
        <v>75</v>
      </c>
      <c r="H172" t="s">
        <v>9</v>
      </c>
      <c r="I172" t="s">
        <v>144</v>
      </c>
    </row>
    <row r="173" spans="1:9" x14ac:dyDescent="0.85">
      <c r="A173">
        <v>24</v>
      </c>
      <c r="B173">
        <v>4</v>
      </c>
      <c r="C173">
        <v>134</v>
      </c>
      <c r="D173">
        <v>96</v>
      </c>
      <c r="E173">
        <v>2702</v>
      </c>
      <c r="F173">
        <v>13.5</v>
      </c>
      <c r="G173">
        <v>75</v>
      </c>
      <c r="H173" t="s">
        <v>24</v>
      </c>
      <c r="I173" t="s">
        <v>42</v>
      </c>
    </row>
    <row r="174" spans="1:9" x14ac:dyDescent="0.85">
      <c r="A174">
        <v>25</v>
      </c>
      <c r="B174">
        <v>4</v>
      </c>
      <c r="C174">
        <v>90</v>
      </c>
      <c r="D174">
        <v>71</v>
      </c>
      <c r="E174">
        <v>2223</v>
      </c>
      <c r="F174">
        <v>16.5</v>
      </c>
      <c r="G174">
        <v>75</v>
      </c>
      <c r="H174" t="s">
        <v>30</v>
      </c>
      <c r="I174" t="s">
        <v>126</v>
      </c>
    </row>
    <row r="175" spans="1:9" x14ac:dyDescent="0.85">
      <c r="A175">
        <v>24</v>
      </c>
      <c r="B175">
        <v>4</v>
      </c>
      <c r="C175">
        <v>119</v>
      </c>
      <c r="D175">
        <v>97</v>
      </c>
      <c r="E175">
        <v>2545</v>
      </c>
      <c r="F175">
        <v>17</v>
      </c>
      <c r="G175">
        <v>75</v>
      </c>
      <c r="H175" t="s">
        <v>24</v>
      </c>
      <c r="I175" t="s">
        <v>127</v>
      </c>
    </row>
    <row r="176" spans="1:9" x14ac:dyDescent="0.85">
      <c r="A176">
        <v>18</v>
      </c>
      <c r="B176">
        <v>6</v>
      </c>
      <c r="C176">
        <v>171</v>
      </c>
      <c r="D176">
        <v>97</v>
      </c>
      <c r="E176">
        <v>2984</v>
      </c>
      <c r="F176">
        <v>14.5</v>
      </c>
      <c r="G176">
        <v>75</v>
      </c>
      <c r="H176" t="s">
        <v>9</v>
      </c>
      <c r="I176" t="s">
        <v>43</v>
      </c>
    </row>
    <row r="177" spans="1:9" x14ac:dyDescent="0.85">
      <c r="A177">
        <v>29</v>
      </c>
      <c r="B177">
        <v>4</v>
      </c>
      <c r="C177">
        <v>90</v>
      </c>
      <c r="D177">
        <v>70</v>
      </c>
      <c r="E177">
        <v>1937</v>
      </c>
      <c r="F177">
        <v>14</v>
      </c>
      <c r="G177">
        <v>75</v>
      </c>
      <c r="H177" t="s">
        <v>30</v>
      </c>
      <c r="I177" t="s">
        <v>145</v>
      </c>
    </row>
    <row r="178" spans="1:9" x14ac:dyDescent="0.85">
      <c r="A178">
        <v>19</v>
      </c>
      <c r="B178">
        <v>6</v>
      </c>
      <c r="C178">
        <v>232</v>
      </c>
      <c r="D178">
        <v>90</v>
      </c>
      <c r="E178">
        <v>3211</v>
      </c>
      <c r="F178">
        <v>17</v>
      </c>
      <c r="G178">
        <v>75</v>
      </c>
      <c r="H178" t="s">
        <v>9</v>
      </c>
      <c r="I178" t="s">
        <v>146</v>
      </c>
    </row>
    <row r="179" spans="1:9" x14ac:dyDescent="0.85">
      <c r="A179">
        <v>23</v>
      </c>
      <c r="B179">
        <v>4</v>
      </c>
      <c r="C179">
        <v>115</v>
      </c>
      <c r="D179">
        <v>95</v>
      </c>
      <c r="E179">
        <v>2694</v>
      </c>
      <c r="F179">
        <v>15</v>
      </c>
      <c r="G179">
        <v>75</v>
      </c>
      <c r="H179" t="s">
        <v>30</v>
      </c>
      <c r="I179" t="s">
        <v>113</v>
      </c>
    </row>
    <row r="180" spans="1:9" x14ac:dyDescent="0.85">
      <c r="A180">
        <v>23</v>
      </c>
      <c r="B180">
        <v>4</v>
      </c>
      <c r="C180">
        <v>120</v>
      </c>
      <c r="D180">
        <v>88</v>
      </c>
      <c r="E180">
        <v>2957</v>
      </c>
      <c r="F180">
        <v>17</v>
      </c>
      <c r="G180">
        <v>75</v>
      </c>
      <c r="H180" t="s">
        <v>30</v>
      </c>
      <c r="I180" t="s">
        <v>32</v>
      </c>
    </row>
    <row r="181" spans="1:9" x14ac:dyDescent="0.85">
      <c r="A181">
        <v>22</v>
      </c>
      <c r="B181">
        <v>4</v>
      </c>
      <c r="C181">
        <v>121</v>
      </c>
      <c r="D181">
        <v>98</v>
      </c>
      <c r="E181">
        <v>2945</v>
      </c>
      <c r="F181">
        <v>14.5</v>
      </c>
      <c r="G181">
        <v>75</v>
      </c>
      <c r="H181" t="s">
        <v>30</v>
      </c>
      <c r="I181" t="s">
        <v>147</v>
      </c>
    </row>
    <row r="182" spans="1:9" x14ac:dyDescent="0.85">
      <c r="A182">
        <v>25</v>
      </c>
      <c r="B182">
        <v>4</v>
      </c>
      <c r="C182">
        <v>121</v>
      </c>
      <c r="D182">
        <v>115</v>
      </c>
      <c r="E182">
        <v>2671</v>
      </c>
      <c r="F182">
        <v>13.5</v>
      </c>
      <c r="G182">
        <v>75</v>
      </c>
      <c r="H182" t="s">
        <v>30</v>
      </c>
      <c r="I182" t="s">
        <v>116</v>
      </c>
    </row>
    <row r="183" spans="1:9" x14ac:dyDescent="0.85">
      <c r="A183">
        <v>33</v>
      </c>
      <c r="B183">
        <v>4</v>
      </c>
      <c r="C183">
        <v>91</v>
      </c>
      <c r="D183">
        <v>53</v>
      </c>
      <c r="E183">
        <v>1795</v>
      </c>
      <c r="F183">
        <v>17.5</v>
      </c>
      <c r="G183">
        <v>75</v>
      </c>
      <c r="H183" t="s">
        <v>24</v>
      </c>
      <c r="I183" t="s">
        <v>148</v>
      </c>
    </row>
    <row r="184" spans="1:9" x14ac:dyDescent="0.85">
      <c r="A184">
        <v>28</v>
      </c>
      <c r="B184">
        <v>4</v>
      </c>
      <c r="C184">
        <v>107</v>
      </c>
      <c r="D184">
        <v>86</v>
      </c>
      <c r="E184">
        <v>2464</v>
      </c>
      <c r="F184">
        <v>15.5</v>
      </c>
      <c r="G184">
        <v>76</v>
      </c>
      <c r="H184" t="s">
        <v>30</v>
      </c>
      <c r="I184" t="s">
        <v>149</v>
      </c>
    </row>
    <row r="185" spans="1:9" x14ac:dyDescent="0.85">
      <c r="A185">
        <v>25</v>
      </c>
      <c r="B185">
        <v>4</v>
      </c>
      <c r="C185">
        <v>116</v>
      </c>
      <c r="D185">
        <v>81</v>
      </c>
      <c r="E185">
        <v>2220</v>
      </c>
      <c r="F185">
        <v>16.899999999999999</v>
      </c>
      <c r="G185">
        <v>76</v>
      </c>
      <c r="H185" t="s">
        <v>30</v>
      </c>
      <c r="I185" t="s">
        <v>56</v>
      </c>
    </row>
    <row r="186" spans="1:9" x14ac:dyDescent="0.85">
      <c r="A186">
        <v>25</v>
      </c>
      <c r="B186">
        <v>4</v>
      </c>
      <c r="C186">
        <v>140</v>
      </c>
      <c r="D186">
        <v>92</v>
      </c>
      <c r="E186">
        <v>2572</v>
      </c>
      <c r="F186">
        <v>14.9</v>
      </c>
      <c r="G186">
        <v>76</v>
      </c>
      <c r="H186" t="s">
        <v>9</v>
      </c>
      <c r="I186" t="s">
        <v>150</v>
      </c>
    </row>
    <row r="187" spans="1:9" x14ac:dyDescent="0.85">
      <c r="A187">
        <v>26</v>
      </c>
      <c r="B187">
        <v>4</v>
      </c>
      <c r="C187">
        <v>98</v>
      </c>
      <c r="D187">
        <v>79</v>
      </c>
      <c r="E187">
        <v>2255</v>
      </c>
      <c r="F187">
        <v>17.7</v>
      </c>
      <c r="G187">
        <v>76</v>
      </c>
      <c r="H187" t="s">
        <v>9</v>
      </c>
      <c r="I187" t="s">
        <v>128</v>
      </c>
    </row>
    <row r="188" spans="1:9" x14ac:dyDescent="0.85">
      <c r="A188">
        <v>27</v>
      </c>
      <c r="B188">
        <v>4</v>
      </c>
      <c r="C188">
        <v>101</v>
      </c>
      <c r="D188">
        <v>83</v>
      </c>
      <c r="E188">
        <v>2202</v>
      </c>
      <c r="F188">
        <v>15.3</v>
      </c>
      <c r="G188">
        <v>76</v>
      </c>
      <c r="H188" t="s">
        <v>30</v>
      </c>
      <c r="I188" t="s">
        <v>151</v>
      </c>
    </row>
    <row r="189" spans="1:9" x14ac:dyDescent="0.85">
      <c r="A189">
        <v>17.5</v>
      </c>
      <c r="B189">
        <v>8</v>
      </c>
      <c r="C189">
        <v>305</v>
      </c>
      <c r="D189">
        <v>140</v>
      </c>
      <c r="E189">
        <v>4215</v>
      </c>
      <c r="F189">
        <v>13</v>
      </c>
      <c r="G189">
        <v>76</v>
      </c>
      <c r="H189" t="s">
        <v>9</v>
      </c>
      <c r="I189" t="s">
        <v>121</v>
      </c>
    </row>
    <row r="190" spans="1:9" x14ac:dyDescent="0.85">
      <c r="A190">
        <v>16</v>
      </c>
      <c r="B190">
        <v>8</v>
      </c>
      <c r="C190">
        <v>318</v>
      </c>
      <c r="D190">
        <v>150</v>
      </c>
      <c r="E190">
        <v>4190</v>
      </c>
      <c r="F190">
        <v>13</v>
      </c>
      <c r="G190">
        <v>76</v>
      </c>
      <c r="H190" t="s">
        <v>9</v>
      </c>
      <c r="I190" t="s">
        <v>152</v>
      </c>
    </row>
    <row r="191" spans="1:9" x14ac:dyDescent="0.85">
      <c r="A191">
        <v>15.5</v>
      </c>
      <c r="B191">
        <v>8</v>
      </c>
      <c r="C191">
        <v>304</v>
      </c>
      <c r="D191">
        <v>120</v>
      </c>
      <c r="E191">
        <v>3962</v>
      </c>
      <c r="F191">
        <v>13.9</v>
      </c>
      <c r="G191">
        <v>76</v>
      </c>
      <c r="H191" t="s">
        <v>9</v>
      </c>
      <c r="I191" t="s">
        <v>46</v>
      </c>
    </row>
    <row r="192" spans="1:9" x14ac:dyDescent="0.85">
      <c r="A192">
        <v>14.5</v>
      </c>
      <c r="B192">
        <v>8</v>
      </c>
      <c r="C192">
        <v>351</v>
      </c>
      <c r="D192">
        <v>152</v>
      </c>
      <c r="E192">
        <v>4215</v>
      </c>
      <c r="F192">
        <v>12.8</v>
      </c>
      <c r="G192">
        <v>76</v>
      </c>
      <c r="H192" t="s">
        <v>9</v>
      </c>
      <c r="I192" t="s">
        <v>89</v>
      </c>
    </row>
    <row r="193" spans="1:9" x14ac:dyDescent="0.85">
      <c r="A193">
        <v>22</v>
      </c>
      <c r="B193">
        <v>6</v>
      </c>
      <c r="C193">
        <v>225</v>
      </c>
      <c r="D193">
        <v>100</v>
      </c>
      <c r="E193">
        <v>3233</v>
      </c>
      <c r="F193">
        <v>15.4</v>
      </c>
      <c r="G193">
        <v>76</v>
      </c>
      <c r="H193" t="s">
        <v>9</v>
      </c>
      <c r="I193" t="s">
        <v>98</v>
      </c>
    </row>
    <row r="194" spans="1:9" x14ac:dyDescent="0.85">
      <c r="A194">
        <v>22</v>
      </c>
      <c r="B194">
        <v>6</v>
      </c>
      <c r="C194">
        <v>250</v>
      </c>
      <c r="D194">
        <v>105</v>
      </c>
      <c r="E194">
        <v>3353</v>
      </c>
      <c r="F194">
        <v>14.5</v>
      </c>
      <c r="G194">
        <v>76</v>
      </c>
      <c r="H194" t="s">
        <v>9</v>
      </c>
      <c r="I194" t="s">
        <v>119</v>
      </c>
    </row>
    <row r="195" spans="1:9" x14ac:dyDescent="0.85">
      <c r="A195">
        <v>24</v>
      </c>
      <c r="B195">
        <v>6</v>
      </c>
      <c r="C195">
        <v>200</v>
      </c>
      <c r="D195">
        <v>81</v>
      </c>
      <c r="E195">
        <v>3012</v>
      </c>
      <c r="F195">
        <v>17.600000000000001</v>
      </c>
      <c r="G195">
        <v>76</v>
      </c>
      <c r="H195" t="s">
        <v>9</v>
      </c>
      <c r="I195" t="s">
        <v>28</v>
      </c>
    </row>
    <row r="196" spans="1:9" x14ac:dyDescent="0.85">
      <c r="A196">
        <v>22.5</v>
      </c>
      <c r="B196">
        <v>6</v>
      </c>
      <c r="C196">
        <v>232</v>
      </c>
      <c r="D196">
        <v>90</v>
      </c>
      <c r="E196">
        <v>3085</v>
      </c>
      <c r="F196">
        <v>17.600000000000001</v>
      </c>
      <c r="G196">
        <v>76</v>
      </c>
      <c r="H196" t="s">
        <v>9</v>
      </c>
      <c r="I196" t="s">
        <v>27</v>
      </c>
    </row>
    <row r="197" spans="1:9" x14ac:dyDescent="0.85">
      <c r="A197">
        <v>29</v>
      </c>
      <c r="B197">
        <v>4</v>
      </c>
      <c r="C197">
        <v>85</v>
      </c>
      <c r="D197">
        <v>52</v>
      </c>
      <c r="E197">
        <v>2035</v>
      </c>
      <c r="F197">
        <v>22.2</v>
      </c>
      <c r="G197">
        <v>76</v>
      </c>
      <c r="H197" t="s">
        <v>9</v>
      </c>
      <c r="I197" t="s">
        <v>153</v>
      </c>
    </row>
    <row r="198" spans="1:9" x14ac:dyDescent="0.85">
      <c r="A198">
        <v>24.5</v>
      </c>
      <c r="B198">
        <v>4</v>
      </c>
      <c r="C198">
        <v>98</v>
      </c>
      <c r="D198">
        <v>60</v>
      </c>
      <c r="E198">
        <v>2164</v>
      </c>
      <c r="F198">
        <v>22.1</v>
      </c>
      <c r="G198">
        <v>76</v>
      </c>
      <c r="H198" t="s">
        <v>9</v>
      </c>
      <c r="I198" t="s">
        <v>154</v>
      </c>
    </row>
    <row r="199" spans="1:9" x14ac:dyDescent="0.85">
      <c r="A199">
        <v>29</v>
      </c>
      <c r="B199">
        <v>4</v>
      </c>
      <c r="C199">
        <v>90</v>
      </c>
      <c r="D199">
        <v>70</v>
      </c>
      <c r="E199">
        <v>1937</v>
      </c>
      <c r="F199">
        <v>14.2</v>
      </c>
      <c r="G199">
        <v>76</v>
      </c>
      <c r="H199" t="s">
        <v>30</v>
      </c>
      <c r="I199" t="s">
        <v>155</v>
      </c>
    </row>
    <row r="200" spans="1:9" x14ac:dyDescent="0.85">
      <c r="A200">
        <v>33</v>
      </c>
      <c r="B200">
        <v>4</v>
      </c>
      <c r="C200">
        <v>91</v>
      </c>
      <c r="D200">
        <v>53</v>
      </c>
      <c r="E200">
        <v>1795</v>
      </c>
      <c r="F200">
        <v>17.399999999999999</v>
      </c>
      <c r="G200">
        <v>76</v>
      </c>
      <c r="H200" t="s">
        <v>24</v>
      </c>
      <c r="I200" t="s">
        <v>130</v>
      </c>
    </row>
    <row r="201" spans="1:9" x14ac:dyDescent="0.85">
      <c r="A201">
        <v>20</v>
      </c>
      <c r="B201">
        <v>6</v>
      </c>
      <c r="C201">
        <v>225</v>
      </c>
      <c r="D201">
        <v>100</v>
      </c>
      <c r="E201">
        <v>3651</v>
      </c>
      <c r="F201">
        <v>17.7</v>
      </c>
      <c r="G201">
        <v>76</v>
      </c>
      <c r="H201" t="s">
        <v>9</v>
      </c>
      <c r="I201" t="s">
        <v>156</v>
      </c>
    </row>
    <row r="202" spans="1:9" x14ac:dyDescent="0.85">
      <c r="A202">
        <v>18</v>
      </c>
      <c r="B202">
        <v>6</v>
      </c>
      <c r="C202">
        <v>250</v>
      </c>
      <c r="D202">
        <v>78</v>
      </c>
      <c r="E202">
        <v>3574</v>
      </c>
      <c r="F202">
        <v>21</v>
      </c>
      <c r="G202">
        <v>76</v>
      </c>
      <c r="H202" t="s">
        <v>9</v>
      </c>
      <c r="I202" t="s">
        <v>157</v>
      </c>
    </row>
    <row r="203" spans="1:9" x14ac:dyDescent="0.85">
      <c r="A203">
        <v>18.5</v>
      </c>
      <c r="B203">
        <v>6</v>
      </c>
      <c r="C203">
        <v>250</v>
      </c>
      <c r="D203">
        <v>110</v>
      </c>
      <c r="E203">
        <v>3645</v>
      </c>
      <c r="F203">
        <v>16.2</v>
      </c>
      <c r="G203">
        <v>76</v>
      </c>
      <c r="H203" t="s">
        <v>9</v>
      </c>
      <c r="I203" t="s">
        <v>158</v>
      </c>
    </row>
    <row r="204" spans="1:9" x14ac:dyDescent="0.85">
      <c r="A204">
        <v>17.5</v>
      </c>
      <c r="B204">
        <v>6</v>
      </c>
      <c r="C204">
        <v>258</v>
      </c>
      <c r="D204">
        <v>95</v>
      </c>
      <c r="E204">
        <v>3193</v>
      </c>
      <c r="F204">
        <v>17.8</v>
      </c>
      <c r="G204">
        <v>76</v>
      </c>
      <c r="H204" t="s">
        <v>9</v>
      </c>
      <c r="I204" t="s">
        <v>159</v>
      </c>
    </row>
    <row r="205" spans="1:9" x14ac:dyDescent="0.85">
      <c r="A205">
        <v>29.5</v>
      </c>
      <c r="B205">
        <v>4</v>
      </c>
      <c r="C205">
        <v>97</v>
      </c>
      <c r="D205">
        <v>71</v>
      </c>
      <c r="E205">
        <v>1825</v>
      </c>
      <c r="F205">
        <v>12.2</v>
      </c>
      <c r="G205">
        <v>76</v>
      </c>
      <c r="H205" t="s">
        <v>30</v>
      </c>
      <c r="I205" t="s">
        <v>145</v>
      </c>
    </row>
    <row r="206" spans="1:9" x14ac:dyDescent="0.85">
      <c r="A206">
        <v>32</v>
      </c>
      <c r="B206">
        <v>4</v>
      </c>
      <c r="C206">
        <v>85</v>
      </c>
      <c r="D206">
        <v>70</v>
      </c>
      <c r="E206">
        <v>1990</v>
      </c>
      <c r="F206">
        <v>17</v>
      </c>
      <c r="G206">
        <v>76</v>
      </c>
      <c r="H206" t="s">
        <v>24</v>
      </c>
      <c r="I206" t="s">
        <v>160</v>
      </c>
    </row>
    <row r="207" spans="1:9" x14ac:dyDescent="0.85">
      <c r="A207">
        <v>28</v>
      </c>
      <c r="B207">
        <v>4</v>
      </c>
      <c r="C207">
        <v>97</v>
      </c>
      <c r="D207">
        <v>75</v>
      </c>
      <c r="E207">
        <v>2155</v>
      </c>
      <c r="F207">
        <v>16.399999999999999</v>
      </c>
      <c r="G207">
        <v>76</v>
      </c>
      <c r="H207" t="s">
        <v>24</v>
      </c>
      <c r="I207" t="s">
        <v>143</v>
      </c>
    </row>
    <row r="208" spans="1:9" x14ac:dyDescent="0.85">
      <c r="A208">
        <v>26.5</v>
      </c>
      <c r="B208">
        <v>4</v>
      </c>
      <c r="C208">
        <v>140</v>
      </c>
      <c r="D208">
        <v>72</v>
      </c>
      <c r="E208">
        <v>2565</v>
      </c>
      <c r="F208">
        <v>13.6</v>
      </c>
      <c r="G208">
        <v>76</v>
      </c>
      <c r="H208" t="s">
        <v>9</v>
      </c>
      <c r="I208" t="s">
        <v>43</v>
      </c>
    </row>
    <row r="209" spans="1:9" x14ac:dyDescent="0.85">
      <c r="A209">
        <v>20</v>
      </c>
      <c r="B209">
        <v>4</v>
      </c>
      <c r="C209">
        <v>130</v>
      </c>
      <c r="D209">
        <v>102</v>
      </c>
      <c r="E209">
        <v>3150</v>
      </c>
      <c r="F209">
        <v>15.7</v>
      </c>
      <c r="G209">
        <v>76</v>
      </c>
      <c r="H209" t="s">
        <v>30</v>
      </c>
      <c r="I209" t="s">
        <v>161</v>
      </c>
    </row>
    <row r="210" spans="1:9" x14ac:dyDescent="0.85">
      <c r="A210">
        <v>13</v>
      </c>
      <c r="B210">
        <v>8</v>
      </c>
      <c r="C210">
        <v>318</v>
      </c>
      <c r="D210">
        <v>150</v>
      </c>
      <c r="E210">
        <v>3940</v>
      </c>
      <c r="F210">
        <v>13.2</v>
      </c>
      <c r="G210">
        <v>76</v>
      </c>
      <c r="H210" t="s">
        <v>9</v>
      </c>
      <c r="I210" t="s">
        <v>162</v>
      </c>
    </row>
    <row r="211" spans="1:9" x14ac:dyDescent="0.85">
      <c r="A211">
        <v>19</v>
      </c>
      <c r="B211">
        <v>4</v>
      </c>
      <c r="C211">
        <v>120</v>
      </c>
      <c r="D211">
        <v>88</v>
      </c>
      <c r="E211">
        <v>3270</v>
      </c>
      <c r="F211">
        <v>21.9</v>
      </c>
      <c r="G211">
        <v>76</v>
      </c>
      <c r="H211" t="s">
        <v>30</v>
      </c>
      <c r="I211" t="s">
        <v>32</v>
      </c>
    </row>
    <row r="212" spans="1:9" x14ac:dyDescent="0.85">
      <c r="A212">
        <v>19</v>
      </c>
      <c r="B212">
        <v>6</v>
      </c>
      <c r="C212">
        <v>156</v>
      </c>
      <c r="D212">
        <v>108</v>
      </c>
      <c r="E212">
        <v>2930</v>
      </c>
      <c r="F212">
        <v>15.5</v>
      </c>
      <c r="G212">
        <v>76</v>
      </c>
      <c r="H212" t="s">
        <v>24</v>
      </c>
      <c r="I212" t="s">
        <v>117</v>
      </c>
    </row>
    <row r="213" spans="1:9" x14ac:dyDescent="0.85">
      <c r="A213">
        <v>16.5</v>
      </c>
      <c r="B213">
        <v>6</v>
      </c>
      <c r="C213">
        <v>168</v>
      </c>
      <c r="D213">
        <v>120</v>
      </c>
      <c r="E213">
        <v>3820</v>
      </c>
      <c r="F213">
        <v>16.7</v>
      </c>
      <c r="G213">
        <v>76</v>
      </c>
      <c r="H213" t="s">
        <v>30</v>
      </c>
      <c r="I213" t="s">
        <v>163</v>
      </c>
    </row>
    <row r="214" spans="1:9" x14ac:dyDescent="0.85">
      <c r="A214">
        <v>16.5</v>
      </c>
      <c r="B214">
        <v>8</v>
      </c>
      <c r="C214">
        <v>350</v>
      </c>
      <c r="D214">
        <v>180</v>
      </c>
      <c r="E214">
        <v>4380</v>
      </c>
      <c r="F214">
        <v>12.1</v>
      </c>
      <c r="G214">
        <v>76</v>
      </c>
      <c r="H214" t="s">
        <v>9</v>
      </c>
      <c r="I214" t="s">
        <v>164</v>
      </c>
    </row>
    <row r="215" spans="1:9" x14ac:dyDescent="0.85">
      <c r="A215">
        <v>13</v>
      </c>
      <c r="B215">
        <v>8</v>
      </c>
      <c r="C215">
        <v>350</v>
      </c>
      <c r="D215">
        <v>145</v>
      </c>
      <c r="E215">
        <v>4055</v>
      </c>
      <c r="F215">
        <v>12</v>
      </c>
      <c r="G215">
        <v>76</v>
      </c>
      <c r="H215" t="s">
        <v>9</v>
      </c>
      <c r="I215" t="s">
        <v>165</v>
      </c>
    </row>
    <row r="216" spans="1:9" x14ac:dyDescent="0.85">
      <c r="A216">
        <v>13</v>
      </c>
      <c r="B216">
        <v>8</v>
      </c>
      <c r="C216">
        <v>302</v>
      </c>
      <c r="D216">
        <v>130</v>
      </c>
      <c r="E216">
        <v>3870</v>
      </c>
      <c r="F216">
        <v>15</v>
      </c>
      <c r="G216">
        <v>76</v>
      </c>
      <c r="H216" t="s">
        <v>9</v>
      </c>
      <c r="I216" t="s">
        <v>166</v>
      </c>
    </row>
    <row r="217" spans="1:9" x14ac:dyDescent="0.85">
      <c r="A217">
        <v>13</v>
      </c>
      <c r="B217">
        <v>8</v>
      </c>
      <c r="C217">
        <v>318</v>
      </c>
      <c r="D217">
        <v>150</v>
      </c>
      <c r="E217">
        <v>3755</v>
      </c>
      <c r="F217">
        <v>14</v>
      </c>
      <c r="G217">
        <v>76</v>
      </c>
      <c r="H217" t="s">
        <v>9</v>
      </c>
      <c r="I217" t="s">
        <v>167</v>
      </c>
    </row>
    <row r="218" spans="1:9" x14ac:dyDescent="0.85">
      <c r="A218">
        <v>31.5</v>
      </c>
      <c r="B218">
        <v>4</v>
      </c>
      <c r="C218">
        <v>98</v>
      </c>
      <c r="D218">
        <v>68</v>
      </c>
      <c r="E218">
        <v>2045</v>
      </c>
      <c r="F218">
        <v>18.5</v>
      </c>
      <c r="G218">
        <v>77</v>
      </c>
      <c r="H218" t="s">
        <v>24</v>
      </c>
      <c r="I218" t="s">
        <v>168</v>
      </c>
    </row>
    <row r="219" spans="1:9" x14ac:dyDescent="0.85">
      <c r="A219">
        <v>30</v>
      </c>
      <c r="B219">
        <v>4</v>
      </c>
      <c r="C219">
        <v>111</v>
      </c>
      <c r="D219">
        <v>80</v>
      </c>
      <c r="E219">
        <v>2155</v>
      </c>
      <c r="F219">
        <v>14.8</v>
      </c>
      <c r="G219">
        <v>77</v>
      </c>
      <c r="H219" t="s">
        <v>9</v>
      </c>
      <c r="I219" t="s">
        <v>169</v>
      </c>
    </row>
    <row r="220" spans="1:9" x14ac:dyDescent="0.85">
      <c r="A220">
        <v>36</v>
      </c>
      <c r="B220">
        <v>4</v>
      </c>
      <c r="C220">
        <v>79</v>
      </c>
      <c r="D220">
        <v>58</v>
      </c>
      <c r="E220">
        <v>1825</v>
      </c>
      <c r="F220">
        <v>18.600000000000001</v>
      </c>
      <c r="G220">
        <v>77</v>
      </c>
      <c r="H220" t="s">
        <v>30</v>
      </c>
      <c r="I220" t="s">
        <v>170</v>
      </c>
    </row>
    <row r="221" spans="1:9" x14ac:dyDescent="0.85">
      <c r="A221">
        <v>25.5</v>
      </c>
      <c r="B221">
        <v>4</v>
      </c>
      <c r="C221">
        <v>122</v>
      </c>
      <c r="D221">
        <v>96</v>
      </c>
      <c r="E221">
        <v>2300</v>
      </c>
      <c r="F221">
        <v>15.5</v>
      </c>
      <c r="G221">
        <v>77</v>
      </c>
      <c r="H221" t="s">
        <v>9</v>
      </c>
      <c r="I221" t="s">
        <v>171</v>
      </c>
    </row>
    <row r="222" spans="1:9" x14ac:dyDescent="0.85">
      <c r="A222">
        <v>33.5</v>
      </c>
      <c r="B222">
        <v>4</v>
      </c>
      <c r="C222">
        <v>85</v>
      </c>
      <c r="D222">
        <v>70</v>
      </c>
      <c r="E222">
        <v>1945</v>
      </c>
      <c r="F222">
        <v>16.8</v>
      </c>
      <c r="G222">
        <v>77</v>
      </c>
      <c r="H222" t="s">
        <v>24</v>
      </c>
      <c r="I222" t="s">
        <v>172</v>
      </c>
    </row>
    <row r="223" spans="1:9" x14ac:dyDescent="0.85">
      <c r="A223">
        <v>17.5</v>
      </c>
      <c r="B223">
        <v>8</v>
      </c>
      <c r="C223">
        <v>305</v>
      </c>
      <c r="D223">
        <v>145</v>
      </c>
      <c r="E223">
        <v>3880</v>
      </c>
      <c r="F223">
        <v>12.5</v>
      </c>
      <c r="G223">
        <v>77</v>
      </c>
      <c r="H223" t="s">
        <v>9</v>
      </c>
      <c r="I223" t="s">
        <v>92</v>
      </c>
    </row>
    <row r="224" spans="1:9" x14ac:dyDescent="0.85">
      <c r="A224">
        <v>17</v>
      </c>
      <c r="B224">
        <v>8</v>
      </c>
      <c r="C224">
        <v>260</v>
      </c>
      <c r="D224">
        <v>110</v>
      </c>
      <c r="E224">
        <v>4060</v>
      </c>
      <c r="F224">
        <v>19</v>
      </c>
      <c r="G224">
        <v>77</v>
      </c>
      <c r="H224" t="s">
        <v>9</v>
      </c>
      <c r="I224" t="s">
        <v>173</v>
      </c>
    </row>
    <row r="225" spans="1:9" x14ac:dyDescent="0.85">
      <c r="A225">
        <v>15.5</v>
      </c>
      <c r="B225">
        <v>8</v>
      </c>
      <c r="C225">
        <v>318</v>
      </c>
      <c r="D225">
        <v>145</v>
      </c>
      <c r="E225">
        <v>4140</v>
      </c>
      <c r="F225">
        <v>13.7</v>
      </c>
      <c r="G225">
        <v>77</v>
      </c>
      <c r="H225" t="s">
        <v>9</v>
      </c>
      <c r="I225" t="s">
        <v>174</v>
      </c>
    </row>
    <row r="226" spans="1:9" x14ac:dyDescent="0.85">
      <c r="A226">
        <v>15</v>
      </c>
      <c r="B226">
        <v>8</v>
      </c>
      <c r="C226">
        <v>302</v>
      </c>
      <c r="D226">
        <v>130</v>
      </c>
      <c r="E226">
        <v>4295</v>
      </c>
      <c r="F226">
        <v>14.9</v>
      </c>
      <c r="G226">
        <v>77</v>
      </c>
      <c r="H226" t="s">
        <v>9</v>
      </c>
      <c r="I226" t="s">
        <v>175</v>
      </c>
    </row>
    <row r="227" spans="1:9" x14ac:dyDescent="0.85">
      <c r="A227">
        <v>17.5</v>
      </c>
      <c r="B227">
        <v>6</v>
      </c>
      <c r="C227">
        <v>250</v>
      </c>
      <c r="D227">
        <v>110</v>
      </c>
      <c r="E227">
        <v>3520</v>
      </c>
      <c r="F227">
        <v>16.399999999999999</v>
      </c>
      <c r="G227">
        <v>77</v>
      </c>
      <c r="H227" t="s">
        <v>9</v>
      </c>
      <c r="I227" t="s">
        <v>176</v>
      </c>
    </row>
    <row r="228" spans="1:9" x14ac:dyDescent="0.85">
      <c r="A228">
        <v>20.5</v>
      </c>
      <c r="B228">
        <v>6</v>
      </c>
      <c r="C228">
        <v>231</v>
      </c>
      <c r="D228">
        <v>105</v>
      </c>
      <c r="E228">
        <v>3425</v>
      </c>
      <c r="F228">
        <v>16.899999999999999</v>
      </c>
      <c r="G228">
        <v>77</v>
      </c>
      <c r="H228" t="s">
        <v>9</v>
      </c>
      <c r="I228" t="s">
        <v>177</v>
      </c>
    </row>
    <row r="229" spans="1:9" x14ac:dyDescent="0.85">
      <c r="A229">
        <v>19</v>
      </c>
      <c r="B229">
        <v>6</v>
      </c>
      <c r="C229">
        <v>225</v>
      </c>
      <c r="D229">
        <v>100</v>
      </c>
      <c r="E229">
        <v>3630</v>
      </c>
      <c r="F229">
        <v>17.7</v>
      </c>
      <c r="G229">
        <v>77</v>
      </c>
      <c r="H229" t="s">
        <v>9</v>
      </c>
      <c r="I229" t="s">
        <v>178</v>
      </c>
    </row>
    <row r="230" spans="1:9" x14ac:dyDescent="0.85">
      <c r="A230">
        <v>18.5</v>
      </c>
      <c r="B230">
        <v>6</v>
      </c>
      <c r="C230">
        <v>250</v>
      </c>
      <c r="D230">
        <v>98</v>
      </c>
      <c r="E230">
        <v>3525</v>
      </c>
      <c r="F230">
        <v>19</v>
      </c>
      <c r="G230">
        <v>77</v>
      </c>
      <c r="H230" t="s">
        <v>9</v>
      </c>
      <c r="I230" t="s">
        <v>179</v>
      </c>
    </row>
    <row r="231" spans="1:9" x14ac:dyDescent="0.85">
      <c r="A231">
        <v>16</v>
      </c>
      <c r="B231">
        <v>8</v>
      </c>
      <c r="C231">
        <v>400</v>
      </c>
      <c r="D231">
        <v>180</v>
      </c>
      <c r="E231">
        <v>4220</v>
      </c>
      <c r="F231">
        <v>11.1</v>
      </c>
      <c r="G231">
        <v>77</v>
      </c>
      <c r="H231" t="s">
        <v>9</v>
      </c>
      <c r="I231" t="s">
        <v>180</v>
      </c>
    </row>
    <row r="232" spans="1:9" x14ac:dyDescent="0.85">
      <c r="A232">
        <v>15.5</v>
      </c>
      <c r="B232">
        <v>8</v>
      </c>
      <c r="C232">
        <v>350</v>
      </c>
      <c r="D232">
        <v>170</v>
      </c>
      <c r="E232">
        <v>4165</v>
      </c>
      <c r="F232">
        <v>11.4</v>
      </c>
      <c r="G232">
        <v>77</v>
      </c>
      <c r="H232" t="s">
        <v>9</v>
      </c>
      <c r="I232" t="s">
        <v>181</v>
      </c>
    </row>
    <row r="233" spans="1:9" x14ac:dyDescent="0.85">
      <c r="A233">
        <v>15.5</v>
      </c>
      <c r="B233">
        <v>8</v>
      </c>
      <c r="C233">
        <v>400</v>
      </c>
      <c r="D233">
        <v>190</v>
      </c>
      <c r="E233">
        <v>4325</v>
      </c>
      <c r="F233">
        <v>12.2</v>
      </c>
      <c r="G233">
        <v>77</v>
      </c>
      <c r="H233" t="s">
        <v>9</v>
      </c>
      <c r="I233" t="s">
        <v>182</v>
      </c>
    </row>
    <row r="234" spans="1:9" x14ac:dyDescent="0.85">
      <c r="A234">
        <v>16</v>
      </c>
      <c r="B234">
        <v>8</v>
      </c>
      <c r="C234">
        <v>351</v>
      </c>
      <c r="D234">
        <v>149</v>
      </c>
      <c r="E234">
        <v>4335</v>
      </c>
      <c r="F234">
        <v>14.5</v>
      </c>
      <c r="G234">
        <v>77</v>
      </c>
      <c r="H234" t="s">
        <v>9</v>
      </c>
      <c r="I234" t="s">
        <v>183</v>
      </c>
    </row>
    <row r="235" spans="1:9" x14ac:dyDescent="0.85">
      <c r="A235">
        <v>29</v>
      </c>
      <c r="B235">
        <v>4</v>
      </c>
      <c r="C235">
        <v>97</v>
      </c>
      <c r="D235">
        <v>78</v>
      </c>
      <c r="E235">
        <v>1940</v>
      </c>
      <c r="F235">
        <v>14.5</v>
      </c>
      <c r="G235">
        <v>77</v>
      </c>
      <c r="H235" t="s">
        <v>30</v>
      </c>
      <c r="I235" t="s">
        <v>184</v>
      </c>
    </row>
    <row r="236" spans="1:9" x14ac:dyDescent="0.85">
      <c r="A236">
        <v>24.5</v>
      </c>
      <c r="B236">
        <v>4</v>
      </c>
      <c r="C236">
        <v>151</v>
      </c>
      <c r="D236">
        <v>88</v>
      </c>
      <c r="E236">
        <v>2740</v>
      </c>
      <c r="F236">
        <v>16</v>
      </c>
      <c r="G236">
        <v>77</v>
      </c>
      <c r="H236" t="s">
        <v>9</v>
      </c>
      <c r="I236" t="s">
        <v>185</v>
      </c>
    </row>
    <row r="237" spans="1:9" x14ac:dyDescent="0.85">
      <c r="A237">
        <v>26</v>
      </c>
      <c r="B237">
        <v>4</v>
      </c>
      <c r="C237">
        <v>97</v>
      </c>
      <c r="D237">
        <v>75</v>
      </c>
      <c r="E237">
        <v>2265</v>
      </c>
      <c r="F237">
        <v>18.2</v>
      </c>
      <c r="G237">
        <v>77</v>
      </c>
      <c r="H237" t="s">
        <v>24</v>
      </c>
      <c r="I237" t="s">
        <v>186</v>
      </c>
    </row>
    <row r="238" spans="1:9" x14ac:dyDescent="0.85">
      <c r="A238">
        <v>25.5</v>
      </c>
      <c r="B238">
        <v>4</v>
      </c>
      <c r="C238">
        <v>140</v>
      </c>
      <c r="D238">
        <v>89</v>
      </c>
      <c r="E238">
        <v>2755</v>
      </c>
      <c r="F238">
        <v>15.8</v>
      </c>
      <c r="G238">
        <v>77</v>
      </c>
      <c r="H238" t="s">
        <v>9</v>
      </c>
      <c r="I238" t="s">
        <v>187</v>
      </c>
    </row>
    <row r="239" spans="1:9" x14ac:dyDescent="0.85">
      <c r="A239">
        <v>30.5</v>
      </c>
      <c r="B239">
        <v>4</v>
      </c>
      <c r="C239">
        <v>98</v>
      </c>
      <c r="D239">
        <v>63</v>
      </c>
      <c r="E239">
        <v>2051</v>
      </c>
      <c r="F239">
        <v>17</v>
      </c>
      <c r="G239">
        <v>77</v>
      </c>
      <c r="H239" t="s">
        <v>9</v>
      </c>
      <c r="I239" t="s">
        <v>153</v>
      </c>
    </row>
    <row r="240" spans="1:9" x14ac:dyDescent="0.85">
      <c r="A240">
        <v>33.5</v>
      </c>
      <c r="B240">
        <v>4</v>
      </c>
      <c r="C240">
        <v>98</v>
      </c>
      <c r="D240">
        <v>83</v>
      </c>
      <c r="E240">
        <v>2075</v>
      </c>
      <c r="F240">
        <v>15.9</v>
      </c>
      <c r="G240">
        <v>77</v>
      </c>
      <c r="H240" t="s">
        <v>9</v>
      </c>
      <c r="I240" t="s">
        <v>188</v>
      </c>
    </row>
    <row r="241" spans="1:9" x14ac:dyDescent="0.85">
      <c r="A241">
        <v>30</v>
      </c>
      <c r="B241">
        <v>4</v>
      </c>
      <c r="C241">
        <v>97</v>
      </c>
      <c r="D241">
        <v>67</v>
      </c>
      <c r="E241">
        <v>1985</v>
      </c>
      <c r="F241">
        <v>16.399999999999999</v>
      </c>
      <c r="G241">
        <v>77</v>
      </c>
      <c r="H241" t="s">
        <v>24</v>
      </c>
      <c r="I241" t="s">
        <v>189</v>
      </c>
    </row>
    <row r="242" spans="1:9" x14ac:dyDescent="0.85">
      <c r="A242">
        <v>30.5</v>
      </c>
      <c r="B242">
        <v>4</v>
      </c>
      <c r="C242">
        <v>97</v>
      </c>
      <c r="D242">
        <v>78</v>
      </c>
      <c r="E242">
        <v>2190</v>
      </c>
      <c r="F242">
        <v>14.1</v>
      </c>
      <c r="G242">
        <v>77</v>
      </c>
      <c r="H242" t="s">
        <v>30</v>
      </c>
      <c r="I242" t="s">
        <v>126</v>
      </c>
    </row>
    <row r="243" spans="1:9" x14ac:dyDescent="0.85">
      <c r="A243">
        <v>22</v>
      </c>
      <c r="B243">
        <v>6</v>
      </c>
      <c r="C243">
        <v>146</v>
      </c>
      <c r="D243">
        <v>97</v>
      </c>
      <c r="E243">
        <v>2815</v>
      </c>
      <c r="F243">
        <v>14.5</v>
      </c>
      <c r="G243">
        <v>77</v>
      </c>
      <c r="H243" t="s">
        <v>24</v>
      </c>
      <c r="I243" t="s">
        <v>190</v>
      </c>
    </row>
    <row r="244" spans="1:9" x14ac:dyDescent="0.85">
      <c r="A244">
        <v>21.5</v>
      </c>
      <c r="B244">
        <v>4</v>
      </c>
      <c r="C244">
        <v>121</v>
      </c>
      <c r="D244">
        <v>110</v>
      </c>
      <c r="E244">
        <v>2600</v>
      </c>
      <c r="F244">
        <v>12.8</v>
      </c>
      <c r="G244">
        <v>77</v>
      </c>
      <c r="H244" t="s">
        <v>30</v>
      </c>
      <c r="I244" t="s">
        <v>191</v>
      </c>
    </row>
    <row r="245" spans="1:9" x14ac:dyDescent="0.85">
      <c r="A245">
        <v>21.5</v>
      </c>
      <c r="B245">
        <v>3</v>
      </c>
      <c r="C245">
        <v>80</v>
      </c>
      <c r="D245">
        <v>110</v>
      </c>
      <c r="E245">
        <v>2720</v>
      </c>
      <c r="F245">
        <v>13.5</v>
      </c>
      <c r="G245">
        <v>77</v>
      </c>
      <c r="H245" t="s">
        <v>24</v>
      </c>
      <c r="I245" t="s">
        <v>192</v>
      </c>
    </row>
    <row r="246" spans="1:9" x14ac:dyDescent="0.85">
      <c r="A246">
        <v>43.1</v>
      </c>
      <c r="B246">
        <v>4</v>
      </c>
      <c r="C246">
        <v>90</v>
      </c>
      <c r="D246">
        <v>48</v>
      </c>
      <c r="E246">
        <v>1985</v>
      </c>
      <c r="F246">
        <v>21.5</v>
      </c>
      <c r="G246">
        <v>78</v>
      </c>
      <c r="H246" t="s">
        <v>30</v>
      </c>
      <c r="I246" t="s">
        <v>193</v>
      </c>
    </row>
    <row r="247" spans="1:9" x14ac:dyDescent="0.85">
      <c r="A247">
        <v>36.1</v>
      </c>
      <c r="B247">
        <v>4</v>
      </c>
      <c r="C247">
        <v>98</v>
      </c>
      <c r="D247">
        <v>66</v>
      </c>
      <c r="E247">
        <v>1800</v>
      </c>
      <c r="F247">
        <v>14.4</v>
      </c>
      <c r="G247">
        <v>78</v>
      </c>
      <c r="H247" t="s">
        <v>9</v>
      </c>
      <c r="I247" t="s">
        <v>194</v>
      </c>
    </row>
    <row r="248" spans="1:9" x14ac:dyDescent="0.85">
      <c r="A248">
        <v>32.799999999999997</v>
      </c>
      <c r="B248">
        <v>4</v>
      </c>
      <c r="C248">
        <v>78</v>
      </c>
      <c r="D248">
        <v>52</v>
      </c>
      <c r="E248">
        <v>1985</v>
      </c>
      <c r="F248">
        <v>19.399999999999999</v>
      </c>
      <c r="G248">
        <v>78</v>
      </c>
      <c r="H248" t="s">
        <v>24</v>
      </c>
      <c r="I248" t="s">
        <v>195</v>
      </c>
    </row>
    <row r="249" spans="1:9" x14ac:dyDescent="0.85">
      <c r="A249">
        <v>39.4</v>
      </c>
      <c r="B249">
        <v>4</v>
      </c>
      <c r="C249">
        <v>85</v>
      </c>
      <c r="D249">
        <v>70</v>
      </c>
      <c r="E249">
        <v>2070</v>
      </c>
      <c r="F249">
        <v>18.600000000000001</v>
      </c>
      <c r="G249">
        <v>78</v>
      </c>
      <c r="H249" t="s">
        <v>24</v>
      </c>
      <c r="I249" t="s">
        <v>196</v>
      </c>
    </row>
    <row r="250" spans="1:9" x14ac:dyDescent="0.85">
      <c r="A250">
        <v>36.1</v>
      </c>
      <c r="B250">
        <v>4</v>
      </c>
      <c r="C250">
        <v>91</v>
      </c>
      <c r="D250">
        <v>60</v>
      </c>
      <c r="E250">
        <v>1800</v>
      </c>
      <c r="F250">
        <v>16.399999999999999</v>
      </c>
      <c r="G250">
        <v>78</v>
      </c>
      <c r="H250" t="s">
        <v>24</v>
      </c>
      <c r="I250" t="s">
        <v>148</v>
      </c>
    </row>
    <row r="251" spans="1:9" x14ac:dyDescent="0.85">
      <c r="A251">
        <v>19.899999999999999</v>
      </c>
      <c r="B251">
        <v>8</v>
      </c>
      <c r="C251">
        <v>260</v>
      </c>
      <c r="D251">
        <v>110</v>
      </c>
      <c r="E251">
        <v>3365</v>
      </c>
      <c r="F251">
        <v>15.5</v>
      </c>
      <c r="G251">
        <v>78</v>
      </c>
      <c r="H251" t="s">
        <v>9</v>
      </c>
      <c r="I251" t="s">
        <v>197</v>
      </c>
    </row>
    <row r="252" spans="1:9" x14ac:dyDescent="0.85">
      <c r="A252">
        <v>19.399999999999999</v>
      </c>
      <c r="B252">
        <v>8</v>
      </c>
      <c r="C252">
        <v>318</v>
      </c>
      <c r="D252">
        <v>140</v>
      </c>
      <c r="E252">
        <v>3735</v>
      </c>
      <c r="F252">
        <v>13.2</v>
      </c>
      <c r="G252">
        <v>78</v>
      </c>
      <c r="H252" t="s">
        <v>9</v>
      </c>
      <c r="I252" t="s">
        <v>198</v>
      </c>
    </row>
    <row r="253" spans="1:9" x14ac:dyDescent="0.85">
      <c r="A253">
        <v>20.2</v>
      </c>
      <c r="B253">
        <v>8</v>
      </c>
      <c r="C253">
        <v>302</v>
      </c>
      <c r="D253">
        <v>139</v>
      </c>
      <c r="E253">
        <v>3570</v>
      </c>
      <c r="F253">
        <v>12.8</v>
      </c>
      <c r="G253">
        <v>78</v>
      </c>
      <c r="H253" t="s">
        <v>9</v>
      </c>
      <c r="I253" t="s">
        <v>199</v>
      </c>
    </row>
    <row r="254" spans="1:9" x14ac:dyDescent="0.85">
      <c r="A254">
        <v>19.2</v>
      </c>
      <c r="B254">
        <v>6</v>
      </c>
      <c r="C254">
        <v>231</v>
      </c>
      <c r="D254">
        <v>105</v>
      </c>
      <c r="E254">
        <v>3535</v>
      </c>
      <c r="F254">
        <v>19.2</v>
      </c>
      <c r="G254">
        <v>78</v>
      </c>
      <c r="H254" t="s">
        <v>9</v>
      </c>
      <c r="I254" t="s">
        <v>200</v>
      </c>
    </row>
    <row r="255" spans="1:9" x14ac:dyDescent="0.85">
      <c r="A255">
        <v>20.5</v>
      </c>
      <c r="B255">
        <v>6</v>
      </c>
      <c r="C255">
        <v>200</v>
      </c>
      <c r="D255">
        <v>95</v>
      </c>
      <c r="E255">
        <v>3155</v>
      </c>
      <c r="F255">
        <v>18.2</v>
      </c>
      <c r="G255">
        <v>78</v>
      </c>
      <c r="H255" t="s">
        <v>9</v>
      </c>
      <c r="I255" t="s">
        <v>88</v>
      </c>
    </row>
    <row r="256" spans="1:9" x14ac:dyDescent="0.85">
      <c r="A256">
        <v>20.2</v>
      </c>
      <c r="B256">
        <v>6</v>
      </c>
      <c r="C256">
        <v>200</v>
      </c>
      <c r="D256">
        <v>85</v>
      </c>
      <c r="E256">
        <v>2965</v>
      </c>
      <c r="F256">
        <v>15.8</v>
      </c>
      <c r="G256">
        <v>78</v>
      </c>
      <c r="H256" t="s">
        <v>9</v>
      </c>
      <c r="I256" t="s">
        <v>201</v>
      </c>
    </row>
    <row r="257" spans="1:9" x14ac:dyDescent="0.85">
      <c r="A257">
        <v>25.1</v>
      </c>
      <c r="B257">
        <v>4</v>
      </c>
      <c r="C257">
        <v>140</v>
      </c>
      <c r="D257">
        <v>88</v>
      </c>
      <c r="E257">
        <v>2720</v>
      </c>
      <c r="F257">
        <v>15.4</v>
      </c>
      <c r="G257">
        <v>78</v>
      </c>
      <c r="H257" t="s">
        <v>9</v>
      </c>
      <c r="I257" t="s">
        <v>202</v>
      </c>
    </row>
    <row r="258" spans="1:9" x14ac:dyDescent="0.85">
      <c r="A258">
        <v>20.5</v>
      </c>
      <c r="B258">
        <v>6</v>
      </c>
      <c r="C258">
        <v>225</v>
      </c>
      <c r="D258">
        <v>100</v>
      </c>
      <c r="E258">
        <v>3430</v>
      </c>
      <c r="F258">
        <v>17.2</v>
      </c>
      <c r="G258">
        <v>78</v>
      </c>
      <c r="H258" t="s">
        <v>9</v>
      </c>
      <c r="I258" t="s">
        <v>203</v>
      </c>
    </row>
    <row r="259" spans="1:9" x14ac:dyDescent="0.85">
      <c r="A259">
        <v>19.399999999999999</v>
      </c>
      <c r="B259">
        <v>6</v>
      </c>
      <c r="C259">
        <v>232</v>
      </c>
      <c r="D259">
        <v>90</v>
      </c>
      <c r="E259">
        <v>3210</v>
      </c>
      <c r="F259">
        <v>17.2</v>
      </c>
      <c r="G259">
        <v>78</v>
      </c>
      <c r="H259" t="s">
        <v>9</v>
      </c>
      <c r="I259" t="s">
        <v>204</v>
      </c>
    </row>
    <row r="260" spans="1:9" x14ac:dyDescent="0.85">
      <c r="A260">
        <v>20.6</v>
      </c>
      <c r="B260">
        <v>6</v>
      </c>
      <c r="C260">
        <v>231</v>
      </c>
      <c r="D260">
        <v>105</v>
      </c>
      <c r="E260">
        <v>3380</v>
      </c>
      <c r="F260">
        <v>15.8</v>
      </c>
      <c r="G260">
        <v>78</v>
      </c>
      <c r="H260" t="s">
        <v>9</v>
      </c>
      <c r="I260" t="s">
        <v>205</v>
      </c>
    </row>
    <row r="261" spans="1:9" x14ac:dyDescent="0.85">
      <c r="A261">
        <v>20.8</v>
      </c>
      <c r="B261">
        <v>6</v>
      </c>
      <c r="C261">
        <v>200</v>
      </c>
      <c r="D261">
        <v>85</v>
      </c>
      <c r="E261">
        <v>3070</v>
      </c>
      <c r="F261">
        <v>16.7</v>
      </c>
      <c r="G261">
        <v>78</v>
      </c>
      <c r="H261" t="s">
        <v>9</v>
      </c>
      <c r="I261" t="s">
        <v>206</v>
      </c>
    </row>
    <row r="262" spans="1:9" x14ac:dyDescent="0.85">
      <c r="A262">
        <v>18.600000000000001</v>
      </c>
      <c r="B262">
        <v>6</v>
      </c>
      <c r="C262">
        <v>225</v>
      </c>
      <c r="D262">
        <v>110</v>
      </c>
      <c r="E262">
        <v>3620</v>
      </c>
      <c r="F262">
        <v>18.7</v>
      </c>
      <c r="G262">
        <v>78</v>
      </c>
      <c r="H262" t="s">
        <v>9</v>
      </c>
      <c r="I262" t="s">
        <v>207</v>
      </c>
    </row>
    <row r="263" spans="1:9" x14ac:dyDescent="0.85">
      <c r="A263">
        <v>18.100000000000001</v>
      </c>
      <c r="B263">
        <v>6</v>
      </c>
      <c r="C263">
        <v>258</v>
      </c>
      <c r="D263">
        <v>120</v>
      </c>
      <c r="E263">
        <v>3410</v>
      </c>
      <c r="F263">
        <v>15.1</v>
      </c>
      <c r="G263">
        <v>78</v>
      </c>
      <c r="H263" t="s">
        <v>9</v>
      </c>
      <c r="I263" t="s">
        <v>208</v>
      </c>
    </row>
    <row r="264" spans="1:9" x14ac:dyDescent="0.85">
      <c r="A264">
        <v>19.2</v>
      </c>
      <c r="B264">
        <v>8</v>
      </c>
      <c r="C264">
        <v>305</v>
      </c>
      <c r="D264">
        <v>145</v>
      </c>
      <c r="E264">
        <v>3425</v>
      </c>
      <c r="F264">
        <v>13.2</v>
      </c>
      <c r="G264">
        <v>78</v>
      </c>
      <c r="H264" t="s">
        <v>9</v>
      </c>
      <c r="I264" t="s">
        <v>181</v>
      </c>
    </row>
    <row r="265" spans="1:9" x14ac:dyDescent="0.85">
      <c r="A265">
        <v>17.7</v>
      </c>
      <c r="B265">
        <v>6</v>
      </c>
      <c r="C265">
        <v>231</v>
      </c>
      <c r="D265">
        <v>165</v>
      </c>
      <c r="E265">
        <v>3445</v>
      </c>
      <c r="F265">
        <v>13.4</v>
      </c>
      <c r="G265">
        <v>78</v>
      </c>
      <c r="H265" t="s">
        <v>9</v>
      </c>
      <c r="I265" t="s">
        <v>209</v>
      </c>
    </row>
    <row r="266" spans="1:9" x14ac:dyDescent="0.85">
      <c r="A266">
        <v>18.100000000000001</v>
      </c>
      <c r="B266">
        <v>8</v>
      </c>
      <c r="C266">
        <v>302</v>
      </c>
      <c r="D266">
        <v>139</v>
      </c>
      <c r="E266">
        <v>3205</v>
      </c>
      <c r="F266">
        <v>11.2</v>
      </c>
      <c r="G266">
        <v>78</v>
      </c>
      <c r="H266" t="s">
        <v>9</v>
      </c>
      <c r="I266" t="s">
        <v>210</v>
      </c>
    </row>
    <row r="267" spans="1:9" x14ac:dyDescent="0.85">
      <c r="A267">
        <v>17.5</v>
      </c>
      <c r="B267">
        <v>8</v>
      </c>
      <c r="C267">
        <v>318</v>
      </c>
      <c r="D267">
        <v>140</v>
      </c>
      <c r="E267">
        <v>4080</v>
      </c>
      <c r="F267">
        <v>13.7</v>
      </c>
      <c r="G267">
        <v>78</v>
      </c>
      <c r="H267" t="s">
        <v>9</v>
      </c>
      <c r="I267" t="s">
        <v>211</v>
      </c>
    </row>
    <row r="268" spans="1:9" x14ac:dyDescent="0.85">
      <c r="A268">
        <v>30</v>
      </c>
      <c r="B268">
        <v>4</v>
      </c>
      <c r="C268">
        <v>98</v>
      </c>
      <c r="D268">
        <v>68</v>
      </c>
      <c r="E268">
        <v>2155</v>
      </c>
      <c r="F268">
        <v>16.5</v>
      </c>
      <c r="G268">
        <v>78</v>
      </c>
      <c r="H268" t="s">
        <v>9</v>
      </c>
      <c r="I268" t="s">
        <v>153</v>
      </c>
    </row>
    <row r="269" spans="1:9" x14ac:dyDescent="0.85">
      <c r="A269">
        <v>27.5</v>
      </c>
      <c r="B269">
        <v>4</v>
      </c>
      <c r="C269">
        <v>134</v>
      </c>
      <c r="D269">
        <v>95</v>
      </c>
      <c r="E269">
        <v>2560</v>
      </c>
      <c r="F269">
        <v>14.2</v>
      </c>
      <c r="G269">
        <v>78</v>
      </c>
      <c r="H269" t="s">
        <v>24</v>
      </c>
      <c r="I269" t="s">
        <v>42</v>
      </c>
    </row>
    <row r="270" spans="1:9" x14ac:dyDescent="0.85">
      <c r="A270">
        <v>27.2</v>
      </c>
      <c r="B270">
        <v>4</v>
      </c>
      <c r="C270">
        <v>119</v>
      </c>
      <c r="D270">
        <v>97</v>
      </c>
      <c r="E270">
        <v>2300</v>
      </c>
      <c r="F270">
        <v>14.7</v>
      </c>
      <c r="G270">
        <v>78</v>
      </c>
      <c r="H270" t="s">
        <v>24</v>
      </c>
      <c r="I270" t="s">
        <v>212</v>
      </c>
    </row>
    <row r="271" spans="1:9" x14ac:dyDescent="0.85">
      <c r="A271">
        <v>30.9</v>
      </c>
      <c r="B271">
        <v>4</v>
      </c>
      <c r="C271">
        <v>105</v>
      </c>
      <c r="D271">
        <v>75</v>
      </c>
      <c r="E271">
        <v>2230</v>
      </c>
      <c r="F271">
        <v>14.5</v>
      </c>
      <c r="G271">
        <v>78</v>
      </c>
      <c r="H271" t="s">
        <v>9</v>
      </c>
      <c r="I271" t="s">
        <v>213</v>
      </c>
    </row>
    <row r="272" spans="1:9" x14ac:dyDescent="0.85">
      <c r="A272">
        <v>21.1</v>
      </c>
      <c r="B272">
        <v>4</v>
      </c>
      <c r="C272">
        <v>134</v>
      </c>
      <c r="D272">
        <v>95</v>
      </c>
      <c r="E272">
        <v>2515</v>
      </c>
      <c r="F272">
        <v>14.8</v>
      </c>
      <c r="G272">
        <v>78</v>
      </c>
      <c r="H272" t="s">
        <v>24</v>
      </c>
      <c r="I272" t="s">
        <v>214</v>
      </c>
    </row>
    <row r="273" spans="1:9" x14ac:dyDescent="0.85">
      <c r="A273">
        <v>23.2</v>
      </c>
      <c r="B273">
        <v>4</v>
      </c>
      <c r="C273">
        <v>156</v>
      </c>
      <c r="D273">
        <v>105</v>
      </c>
      <c r="E273">
        <v>2745</v>
      </c>
      <c r="F273">
        <v>16.7</v>
      </c>
      <c r="G273">
        <v>78</v>
      </c>
      <c r="H273" t="s">
        <v>9</v>
      </c>
      <c r="I273" t="s">
        <v>215</v>
      </c>
    </row>
    <row r="274" spans="1:9" x14ac:dyDescent="0.85">
      <c r="A274">
        <v>23.8</v>
      </c>
      <c r="B274">
        <v>4</v>
      </c>
      <c r="C274">
        <v>151</v>
      </c>
      <c r="D274">
        <v>85</v>
      </c>
      <c r="E274">
        <v>2855</v>
      </c>
      <c r="F274">
        <v>17.600000000000001</v>
      </c>
      <c r="G274">
        <v>78</v>
      </c>
      <c r="H274" t="s">
        <v>9</v>
      </c>
      <c r="I274" t="s">
        <v>216</v>
      </c>
    </row>
    <row r="275" spans="1:9" x14ac:dyDescent="0.85">
      <c r="A275">
        <v>23.9</v>
      </c>
      <c r="B275">
        <v>4</v>
      </c>
      <c r="C275">
        <v>119</v>
      </c>
      <c r="D275">
        <v>97</v>
      </c>
      <c r="E275">
        <v>2405</v>
      </c>
      <c r="F275">
        <v>14.9</v>
      </c>
      <c r="G275">
        <v>78</v>
      </c>
      <c r="H275" t="s">
        <v>24</v>
      </c>
      <c r="I275" t="s">
        <v>217</v>
      </c>
    </row>
    <row r="276" spans="1:9" x14ac:dyDescent="0.85">
      <c r="A276">
        <v>20.3</v>
      </c>
      <c r="B276">
        <v>5</v>
      </c>
      <c r="C276">
        <v>131</v>
      </c>
      <c r="D276">
        <v>103</v>
      </c>
      <c r="E276">
        <v>2830</v>
      </c>
      <c r="F276">
        <v>15.9</v>
      </c>
      <c r="G276">
        <v>78</v>
      </c>
      <c r="H276" t="s">
        <v>30</v>
      </c>
      <c r="I276" t="s">
        <v>218</v>
      </c>
    </row>
    <row r="277" spans="1:9" x14ac:dyDescent="0.85">
      <c r="A277">
        <v>17</v>
      </c>
      <c r="B277">
        <v>6</v>
      </c>
      <c r="C277">
        <v>163</v>
      </c>
      <c r="D277">
        <v>125</v>
      </c>
      <c r="E277">
        <v>3140</v>
      </c>
      <c r="F277">
        <v>13.6</v>
      </c>
      <c r="G277">
        <v>78</v>
      </c>
      <c r="H277" t="s">
        <v>30</v>
      </c>
      <c r="I277" t="s">
        <v>219</v>
      </c>
    </row>
    <row r="278" spans="1:9" x14ac:dyDescent="0.85">
      <c r="A278">
        <v>21.6</v>
      </c>
      <c r="B278">
        <v>4</v>
      </c>
      <c r="C278">
        <v>121</v>
      </c>
      <c r="D278">
        <v>115</v>
      </c>
      <c r="E278">
        <v>2795</v>
      </c>
      <c r="F278">
        <v>15.7</v>
      </c>
      <c r="G278">
        <v>78</v>
      </c>
      <c r="H278" t="s">
        <v>30</v>
      </c>
      <c r="I278" t="s">
        <v>220</v>
      </c>
    </row>
    <row r="279" spans="1:9" x14ac:dyDescent="0.85">
      <c r="A279">
        <v>16.2</v>
      </c>
      <c r="B279">
        <v>6</v>
      </c>
      <c r="C279">
        <v>163</v>
      </c>
      <c r="D279">
        <v>133</v>
      </c>
      <c r="E279">
        <v>3410</v>
      </c>
      <c r="F279">
        <v>15.8</v>
      </c>
      <c r="G279">
        <v>78</v>
      </c>
      <c r="H279" t="s">
        <v>30</v>
      </c>
      <c r="I279" t="s">
        <v>221</v>
      </c>
    </row>
    <row r="280" spans="1:9" x14ac:dyDescent="0.85">
      <c r="A280">
        <v>31.5</v>
      </c>
      <c r="B280">
        <v>4</v>
      </c>
      <c r="C280">
        <v>89</v>
      </c>
      <c r="D280">
        <v>71</v>
      </c>
      <c r="E280">
        <v>1990</v>
      </c>
      <c r="F280">
        <v>14.9</v>
      </c>
      <c r="G280">
        <v>78</v>
      </c>
      <c r="H280" t="s">
        <v>30</v>
      </c>
      <c r="I280" t="s">
        <v>222</v>
      </c>
    </row>
    <row r="281" spans="1:9" x14ac:dyDescent="0.85">
      <c r="A281">
        <v>29.5</v>
      </c>
      <c r="B281">
        <v>4</v>
      </c>
      <c r="C281">
        <v>98</v>
      </c>
      <c r="D281">
        <v>68</v>
      </c>
      <c r="E281">
        <v>2135</v>
      </c>
      <c r="F281">
        <v>16.600000000000001</v>
      </c>
      <c r="G281">
        <v>78</v>
      </c>
      <c r="H281" t="s">
        <v>24</v>
      </c>
      <c r="I281" t="s">
        <v>223</v>
      </c>
    </row>
    <row r="282" spans="1:9" x14ac:dyDescent="0.85">
      <c r="A282">
        <v>21.5</v>
      </c>
      <c r="B282">
        <v>6</v>
      </c>
      <c r="C282">
        <v>231</v>
      </c>
      <c r="D282">
        <v>115</v>
      </c>
      <c r="E282">
        <v>3245</v>
      </c>
      <c r="F282">
        <v>15.4</v>
      </c>
      <c r="G282">
        <v>79</v>
      </c>
      <c r="H282" t="s">
        <v>9</v>
      </c>
      <c r="I282" t="s">
        <v>224</v>
      </c>
    </row>
    <row r="283" spans="1:9" x14ac:dyDescent="0.85">
      <c r="A283">
        <v>19.8</v>
      </c>
      <c r="B283">
        <v>6</v>
      </c>
      <c r="C283">
        <v>200</v>
      </c>
      <c r="D283">
        <v>85</v>
      </c>
      <c r="E283">
        <v>2990</v>
      </c>
      <c r="F283">
        <v>18.2</v>
      </c>
      <c r="G283">
        <v>79</v>
      </c>
      <c r="H283" t="s">
        <v>9</v>
      </c>
      <c r="I283" t="s">
        <v>225</v>
      </c>
    </row>
    <row r="284" spans="1:9" x14ac:dyDescent="0.85">
      <c r="A284">
        <v>22.3</v>
      </c>
      <c r="B284">
        <v>4</v>
      </c>
      <c r="C284">
        <v>140</v>
      </c>
      <c r="D284">
        <v>88</v>
      </c>
      <c r="E284">
        <v>2890</v>
      </c>
      <c r="F284">
        <v>17.3</v>
      </c>
      <c r="G284">
        <v>79</v>
      </c>
      <c r="H284" t="s">
        <v>9</v>
      </c>
      <c r="I284" t="s">
        <v>226</v>
      </c>
    </row>
    <row r="285" spans="1:9" x14ac:dyDescent="0.85">
      <c r="A285">
        <v>20.2</v>
      </c>
      <c r="B285">
        <v>6</v>
      </c>
      <c r="C285">
        <v>232</v>
      </c>
      <c r="D285">
        <v>90</v>
      </c>
      <c r="E285">
        <v>3265</v>
      </c>
      <c r="F285">
        <v>18.2</v>
      </c>
      <c r="G285">
        <v>79</v>
      </c>
      <c r="H285" t="s">
        <v>9</v>
      </c>
      <c r="I285" t="s">
        <v>227</v>
      </c>
    </row>
    <row r="286" spans="1:9" x14ac:dyDescent="0.85">
      <c r="A286">
        <v>20.6</v>
      </c>
      <c r="B286">
        <v>6</v>
      </c>
      <c r="C286">
        <v>225</v>
      </c>
      <c r="D286">
        <v>110</v>
      </c>
      <c r="E286">
        <v>3360</v>
      </c>
      <c r="F286">
        <v>16.600000000000001</v>
      </c>
      <c r="G286">
        <v>79</v>
      </c>
      <c r="H286" t="s">
        <v>9</v>
      </c>
      <c r="I286" t="s">
        <v>228</v>
      </c>
    </row>
    <row r="287" spans="1:9" x14ac:dyDescent="0.85">
      <c r="A287">
        <v>17</v>
      </c>
      <c r="B287">
        <v>8</v>
      </c>
      <c r="C287">
        <v>305</v>
      </c>
      <c r="D287">
        <v>130</v>
      </c>
      <c r="E287">
        <v>3840</v>
      </c>
      <c r="F287">
        <v>15.4</v>
      </c>
      <c r="G287">
        <v>79</v>
      </c>
      <c r="H287" t="s">
        <v>9</v>
      </c>
      <c r="I287" t="s">
        <v>92</v>
      </c>
    </row>
    <row r="288" spans="1:9" x14ac:dyDescent="0.85">
      <c r="A288">
        <v>17.600000000000001</v>
      </c>
      <c r="B288">
        <v>8</v>
      </c>
      <c r="C288">
        <v>302</v>
      </c>
      <c r="D288">
        <v>129</v>
      </c>
      <c r="E288">
        <v>3725</v>
      </c>
      <c r="F288">
        <v>13.4</v>
      </c>
      <c r="G288">
        <v>79</v>
      </c>
      <c r="H288" t="s">
        <v>9</v>
      </c>
      <c r="I288" t="s">
        <v>229</v>
      </c>
    </row>
    <row r="289" spans="1:9" x14ac:dyDescent="0.85">
      <c r="A289">
        <v>16.5</v>
      </c>
      <c r="B289">
        <v>8</v>
      </c>
      <c r="C289">
        <v>351</v>
      </c>
      <c r="D289">
        <v>138</v>
      </c>
      <c r="E289">
        <v>3955</v>
      </c>
      <c r="F289">
        <v>13.2</v>
      </c>
      <c r="G289">
        <v>79</v>
      </c>
      <c r="H289" t="s">
        <v>9</v>
      </c>
      <c r="I289" t="s">
        <v>230</v>
      </c>
    </row>
    <row r="290" spans="1:9" x14ac:dyDescent="0.85">
      <c r="A290">
        <v>18.2</v>
      </c>
      <c r="B290">
        <v>8</v>
      </c>
      <c r="C290">
        <v>318</v>
      </c>
      <c r="D290">
        <v>135</v>
      </c>
      <c r="E290">
        <v>3830</v>
      </c>
      <c r="F290">
        <v>15.2</v>
      </c>
      <c r="G290">
        <v>79</v>
      </c>
      <c r="H290" t="s">
        <v>9</v>
      </c>
      <c r="I290" t="s">
        <v>231</v>
      </c>
    </row>
    <row r="291" spans="1:9" x14ac:dyDescent="0.85">
      <c r="A291">
        <v>16.899999999999999</v>
      </c>
      <c r="B291">
        <v>8</v>
      </c>
      <c r="C291">
        <v>350</v>
      </c>
      <c r="D291">
        <v>155</v>
      </c>
      <c r="E291">
        <v>4360</v>
      </c>
      <c r="F291">
        <v>14.9</v>
      </c>
      <c r="G291">
        <v>79</v>
      </c>
      <c r="H291" t="s">
        <v>9</v>
      </c>
      <c r="I291" t="s">
        <v>23</v>
      </c>
    </row>
    <row r="292" spans="1:9" x14ac:dyDescent="0.85">
      <c r="A292">
        <v>15.5</v>
      </c>
      <c r="B292">
        <v>8</v>
      </c>
      <c r="C292">
        <v>351</v>
      </c>
      <c r="D292">
        <v>142</v>
      </c>
      <c r="E292">
        <v>4054</v>
      </c>
      <c r="F292">
        <v>14.3</v>
      </c>
      <c r="G292">
        <v>79</v>
      </c>
      <c r="H292" t="s">
        <v>9</v>
      </c>
      <c r="I292" t="s">
        <v>49</v>
      </c>
    </row>
    <row r="293" spans="1:9" x14ac:dyDescent="0.85">
      <c r="A293">
        <v>19.2</v>
      </c>
      <c r="B293">
        <v>8</v>
      </c>
      <c r="C293">
        <v>267</v>
      </c>
      <c r="D293">
        <v>125</v>
      </c>
      <c r="E293">
        <v>3605</v>
      </c>
      <c r="F293">
        <v>15</v>
      </c>
      <c r="G293">
        <v>79</v>
      </c>
      <c r="H293" t="s">
        <v>9</v>
      </c>
      <c r="I293" t="s">
        <v>232</v>
      </c>
    </row>
    <row r="294" spans="1:9" x14ac:dyDescent="0.85">
      <c r="A294">
        <v>18.5</v>
      </c>
      <c r="B294">
        <v>8</v>
      </c>
      <c r="C294">
        <v>360</v>
      </c>
      <c r="D294">
        <v>150</v>
      </c>
      <c r="E294">
        <v>3940</v>
      </c>
      <c r="F294">
        <v>13</v>
      </c>
      <c r="G294">
        <v>79</v>
      </c>
      <c r="H294" t="s">
        <v>9</v>
      </c>
      <c r="I294" t="s">
        <v>233</v>
      </c>
    </row>
    <row r="295" spans="1:9" x14ac:dyDescent="0.85">
      <c r="A295">
        <v>31.9</v>
      </c>
      <c r="B295">
        <v>4</v>
      </c>
      <c r="C295">
        <v>89</v>
      </c>
      <c r="D295">
        <v>71</v>
      </c>
      <c r="E295">
        <v>1925</v>
      </c>
      <c r="F295">
        <v>14</v>
      </c>
      <c r="G295">
        <v>79</v>
      </c>
      <c r="H295" t="s">
        <v>30</v>
      </c>
      <c r="I295" t="s">
        <v>234</v>
      </c>
    </row>
    <row r="296" spans="1:9" x14ac:dyDescent="0.85">
      <c r="A296">
        <v>34.1</v>
      </c>
      <c r="B296">
        <v>4</v>
      </c>
      <c r="C296">
        <v>86</v>
      </c>
      <c r="D296">
        <v>65</v>
      </c>
      <c r="E296">
        <v>1975</v>
      </c>
      <c r="F296">
        <v>15.2</v>
      </c>
      <c r="G296">
        <v>79</v>
      </c>
      <c r="H296" t="s">
        <v>24</v>
      </c>
      <c r="I296" t="s">
        <v>235</v>
      </c>
    </row>
    <row r="297" spans="1:9" x14ac:dyDescent="0.85">
      <c r="A297">
        <v>35.700000000000003</v>
      </c>
      <c r="B297">
        <v>4</v>
      </c>
      <c r="C297">
        <v>98</v>
      </c>
      <c r="D297">
        <v>80</v>
      </c>
      <c r="E297">
        <v>1915</v>
      </c>
      <c r="F297">
        <v>14.4</v>
      </c>
      <c r="G297">
        <v>79</v>
      </c>
      <c r="H297" t="s">
        <v>9</v>
      </c>
      <c r="I297" t="s">
        <v>236</v>
      </c>
    </row>
    <row r="298" spans="1:9" x14ac:dyDescent="0.85">
      <c r="A298">
        <v>27.4</v>
      </c>
      <c r="B298">
        <v>4</v>
      </c>
      <c r="C298">
        <v>121</v>
      </c>
      <c r="D298">
        <v>80</v>
      </c>
      <c r="E298">
        <v>2670</v>
      </c>
      <c r="F298">
        <v>15</v>
      </c>
      <c r="G298">
        <v>79</v>
      </c>
      <c r="H298" t="s">
        <v>9</v>
      </c>
      <c r="I298" t="s">
        <v>237</v>
      </c>
    </row>
    <row r="299" spans="1:9" x14ac:dyDescent="0.85">
      <c r="A299">
        <v>25.4</v>
      </c>
      <c r="B299">
        <v>5</v>
      </c>
      <c r="C299">
        <v>183</v>
      </c>
      <c r="D299">
        <v>77</v>
      </c>
      <c r="E299">
        <v>3530</v>
      </c>
      <c r="F299">
        <v>20.100000000000001</v>
      </c>
      <c r="G299">
        <v>79</v>
      </c>
      <c r="H299" t="s">
        <v>30</v>
      </c>
      <c r="I299" t="s">
        <v>238</v>
      </c>
    </row>
    <row r="300" spans="1:9" x14ac:dyDescent="0.85">
      <c r="A300">
        <v>23</v>
      </c>
      <c r="B300">
        <v>8</v>
      </c>
      <c r="C300">
        <v>350</v>
      </c>
      <c r="D300">
        <v>125</v>
      </c>
      <c r="E300">
        <v>3900</v>
      </c>
      <c r="F300">
        <v>17.399999999999999</v>
      </c>
      <c r="G300">
        <v>79</v>
      </c>
      <c r="H300" t="s">
        <v>9</v>
      </c>
      <c r="I300" t="s">
        <v>239</v>
      </c>
    </row>
    <row r="301" spans="1:9" x14ac:dyDescent="0.85">
      <c r="A301">
        <v>27.2</v>
      </c>
      <c r="B301">
        <v>4</v>
      </c>
      <c r="C301">
        <v>141</v>
      </c>
      <c r="D301">
        <v>71</v>
      </c>
      <c r="E301">
        <v>3190</v>
      </c>
      <c r="F301">
        <v>24.8</v>
      </c>
      <c r="G301">
        <v>79</v>
      </c>
      <c r="H301" t="s">
        <v>30</v>
      </c>
      <c r="I301" t="s">
        <v>32</v>
      </c>
    </row>
    <row r="302" spans="1:9" x14ac:dyDescent="0.85">
      <c r="A302">
        <v>23.9</v>
      </c>
      <c r="B302">
        <v>8</v>
      </c>
      <c r="C302">
        <v>260</v>
      </c>
      <c r="D302">
        <v>90</v>
      </c>
      <c r="E302">
        <v>3420</v>
      </c>
      <c r="F302">
        <v>22.2</v>
      </c>
      <c r="G302">
        <v>79</v>
      </c>
      <c r="H302" t="s">
        <v>9</v>
      </c>
      <c r="I302" t="s">
        <v>197</v>
      </c>
    </row>
    <row r="303" spans="1:9" x14ac:dyDescent="0.85">
      <c r="A303">
        <v>34.200000000000003</v>
      </c>
      <c r="B303">
        <v>4</v>
      </c>
      <c r="C303">
        <v>105</v>
      </c>
      <c r="D303">
        <v>70</v>
      </c>
      <c r="E303">
        <v>2200</v>
      </c>
      <c r="F303">
        <v>13.2</v>
      </c>
      <c r="G303">
        <v>79</v>
      </c>
      <c r="H303" t="s">
        <v>9</v>
      </c>
      <c r="I303" t="s">
        <v>240</v>
      </c>
    </row>
    <row r="304" spans="1:9" x14ac:dyDescent="0.85">
      <c r="A304">
        <v>34.5</v>
      </c>
      <c r="B304">
        <v>4</v>
      </c>
      <c r="C304">
        <v>105</v>
      </c>
      <c r="D304">
        <v>70</v>
      </c>
      <c r="E304">
        <v>2150</v>
      </c>
      <c r="F304">
        <v>14.9</v>
      </c>
      <c r="G304">
        <v>79</v>
      </c>
      <c r="H304" t="s">
        <v>9</v>
      </c>
      <c r="I304" t="s">
        <v>241</v>
      </c>
    </row>
    <row r="305" spans="1:9" x14ac:dyDescent="0.85">
      <c r="A305">
        <v>31.8</v>
      </c>
      <c r="B305">
        <v>4</v>
      </c>
      <c r="C305">
        <v>85</v>
      </c>
      <c r="D305">
        <v>65</v>
      </c>
      <c r="E305">
        <v>2020</v>
      </c>
      <c r="F305">
        <v>19.2</v>
      </c>
      <c r="G305">
        <v>79</v>
      </c>
      <c r="H305" t="s">
        <v>24</v>
      </c>
      <c r="I305" t="s">
        <v>242</v>
      </c>
    </row>
    <row r="306" spans="1:9" x14ac:dyDescent="0.85">
      <c r="A306">
        <v>37.299999999999997</v>
      </c>
      <c r="B306">
        <v>4</v>
      </c>
      <c r="C306">
        <v>91</v>
      </c>
      <c r="D306">
        <v>69</v>
      </c>
      <c r="E306">
        <v>2130</v>
      </c>
      <c r="F306">
        <v>14.7</v>
      </c>
      <c r="G306">
        <v>79</v>
      </c>
      <c r="H306" t="s">
        <v>30</v>
      </c>
      <c r="I306" t="s">
        <v>243</v>
      </c>
    </row>
    <row r="307" spans="1:9" x14ac:dyDescent="0.85">
      <c r="A307">
        <v>28.4</v>
      </c>
      <c r="B307">
        <v>4</v>
      </c>
      <c r="C307">
        <v>151</v>
      </c>
      <c r="D307">
        <v>90</v>
      </c>
      <c r="E307">
        <v>2670</v>
      </c>
      <c r="F307">
        <v>16</v>
      </c>
      <c r="G307">
        <v>79</v>
      </c>
      <c r="H307" t="s">
        <v>9</v>
      </c>
      <c r="I307" t="s">
        <v>244</v>
      </c>
    </row>
    <row r="308" spans="1:9" x14ac:dyDescent="0.85">
      <c r="A308">
        <v>28.8</v>
      </c>
      <c r="B308">
        <v>6</v>
      </c>
      <c r="C308">
        <v>173</v>
      </c>
      <c r="D308">
        <v>115</v>
      </c>
      <c r="E308">
        <v>2595</v>
      </c>
      <c r="F308">
        <v>11.3</v>
      </c>
      <c r="G308">
        <v>79</v>
      </c>
      <c r="H308" t="s">
        <v>9</v>
      </c>
      <c r="I308" t="s">
        <v>245</v>
      </c>
    </row>
    <row r="309" spans="1:9" x14ac:dyDescent="0.85">
      <c r="A309">
        <v>26.8</v>
      </c>
      <c r="B309">
        <v>6</v>
      </c>
      <c r="C309">
        <v>173</v>
      </c>
      <c r="D309">
        <v>115</v>
      </c>
      <c r="E309">
        <v>2700</v>
      </c>
      <c r="F309">
        <v>12.9</v>
      </c>
      <c r="G309">
        <v>79</v>
      </c>
      <c r="H309" t="s">
        <v>9</v>
      </c>
      <c r="I309" t="s">
        <v>246</v>
      </c>
    </row>
    <row r="310" spans="1:9" x14ac:dyDescent="0.85">
      <c r="A310">
        <v>33.5</v>
      </c>
      <c r="B310">
        <v>4</v>
      </c>
      <c r="C310">
        <v>151</v>
      </c>
      <c r="D310">
        <v>90</v>
      </c>
      <c r="E310">
        <v>2556</v>
      </c>
      <c r="F310">
        <v>13.2</v>
      </c>
      <c r="G310">
        <v>79</v>
      </c>
      <c r="H310" t="s">
        <v>9</v>
      </c>
      <c r="I310" t="s">
        <v>247</v>
      </c>
    </row>
    <row r="311" spans="1:9" x14ac:dyDescent="0.85">
      <c r="A311">
        <v>41.5</v>
      </c>
      <c r="B311">
        <v>4</v>
      </c>
      <c r="C311">
        <v>98</v>
      </c>
      <c r="D311">
        <v>76</v>
      </c>
      <c r="E311">
        <v>2144</v>
      </c>
      <c r="F311">
        <v>14.7</v>
      </c>
      <c r="G311">
        <v>80</v>
      </c>
      <c r="H311" t="s">
        <v>30</v>
      </c>
      <c r="I311" t="s">
        <v>155</v>
      </c>
    </row>
    <row r="312" spans="1:9" x14ac:dyDescent="0.85">
      <c r="A312">
        <v>38.1</v>
      </c>
      <c r="B312">
        <v>4</v>
      </c>
      <c r="C312">
        <v>89</v>
      </c>
      <c r="D312">
        <v>60</v>
      </c>
      <c r="E312">
        <v>1968</v>
      </c>
      <c r="F312">
        <v>18.8</v>
      </c>
      <c r="G312">
        <v>80</v>
      </c>
      <c r="H312" t="s">
        <v>24</v>
      </c>
      <c r="I312" t="s">
        <v>248</v>
      </c>
    </row>
    <row r="313" spans="1:9" x14ac:dyDescent="0.85">
      <c r="A313">
        <v>32.1</v>
      </c>
      <c r="B313">
        <v>4</v>
      </c>
      <c r="C313">
        <v>98</v>
      </c>
      <c r="D313">
        <v>70</v>
      </c>
      <c r="E313">
        <v>2120</v>
      </c>
      <c r="F313">
        <v>15.5</v>
      </c>
      <c r="G313">
        <v>80</v>
      </c>
      <c r="H313" t="s">
        <v>9</v>
      </c>
      <c r="I313" t="s">
        <v>153</v>
      </c>
    </row>
    <row r="314" spans="1:9" x14ac:dyDescent="0.85">
      <c r="A314">
        <v>37.200000000000003</v>
      </c>
      <c r="B314">
        <v>4</v>
      </c>
      <c r="C314">
        <v>86</v>
      </c>
      <c r="D314">
        <v>65</v>
      </c>
      <c r="E314">
        <v>2019</v>
      </c>
      <c r="F314">
        <v>16.399999999999999</v>
      </c>
      <c r="G314">
        <v>80</v>
      </c>
      <c r="H314" t="s">
        <v>24</v>
      </c>
      <c r="I314" t="s">
        <v>249</v>
      </c>
    </row>
    <row r="315" spans="1:9" x14ac:dyDescent="0.85">
      <c r="A315">
        <v>28</v>
      </c>
      <c r="B315">
        <v>4</v>
      </c>
      <c r="C315">
        <v>151</v>
      </c>
      <c r="D315">
        <v>90</v>
      </c>
      <c r="E315">
        <v>2678</v>
      </c>
      <c r="F315">
        <v>16.5</v>
      </c>
      <c r="G315">
        <v>80</v>
      </c>
      <c r="H315" t="s">
        <v>9</v>
      </c>
      <c r="I315" t="s">
        <v>245</v>
      </c>
    </row>
    <row r="316" spans="1:9" x14ac:dyDescent="0.85">
      <c r="A316">
        <v>26.4</v>
      </c>
      <c r="B316">
        <v>4</v>
      </c>
      <c r="C316">
        <v>140</v>
      </c>
      <c r="D316">
        <v>88</v>
      </c>
      <c r="E316">
        <v>2870</v>
      </c>
      <c r="F316">
        <v>18.100000000000001</v>
      </c>
      <c r="G316">
        <v>80</v>
      </c>
      <c r="H316" t="s">
        <v>9</v>
      </c>
      <c r="I316" t="s">
        <v>250</v>
      </c>
    </row>
    <row r="317" spans="1:9" x14ac:dyDescent="0.85">
      <c r="A317">
        <v>24.3</v>
      </c>
      <c r="B317">
        <v>4</v>
      </c>
      <c r="C317">
        <v>151</v>
      </c>
      <c r="D317">
        <v>90</v>
      </c>
      <c r="E317">
        <v>3003</v>
      </c>
      <c r="F317">
        <v>20.100000000000001</v>
      </c>
      <c r="G317">
        <v>80</v>
      </c>
      <c r="H317" t="s">
        <v>9</v>
      </c>
      <c r="I317" t="s">
        <v>204</v>
      </c>
    </row>
    <row r="318" spans="1:9" x14ac:dyDescent="0.85">
      <c r="A318">
        <v>19.100000000000001</v>
      </c>
      <c r="B318">
        <v>6</v>
      </c>
      <c r="C318">
        <v>225</v>
      </c>
      <c r="D318">
        <v>90</v>
      </c>
      <c r="E318">
        <v>3381</v>
      </c>
      <c r="F318">
        <v>18.7</v>
      </c>
      <c r="G318">
        <v>80</v>
      </c>
      <c r="H318" t="s">
        <v>9</v>
      </c>
      <c r="I318" t="s">
        <v>207</v>
      </c>
    </row>
    <row r="319" spans="1:9" x14ac:dyDescent="0.85">
      <c r="A319">
        <v>34.299999999999997</v>
      </c>
      <c r="B319">
        <v>4</v>
      </c>
      <c r="C319">
        <v>97</v>
      </c>
      <c r="D319">
        <v>78</v>
      </c>
      <c r="E319">
        <v>2188</v>
      </c>
      <c r="F319">
        <v>15.8</v>
      </c>
      <c r="G319">
        <v>80</v>
      </c>
      <c r="H319" t="s">
        <v>30</v>
      </c>
      <c r="I319" t="s">
        <v>251</v>
      </c>
    </row>
    <row r="320" spans="1:9" x14ac:dyDescent="0.85">
      <c r="A320">
        <v>29.8</v>
      </c>
      <c r="B320">
        <v>4</v>
      </c>
      <c r="C320">
        <v>134</v>
      </c>
      <c r="D320">
        <v>90</v>
      </c>
      <c r="E320">
        <v>2711</v>
      </c>
      <c r="F320">
        <v>15.5</v>
      </c>
      <c r="G320">
        <v>80</v>
      </c>
      <c r="H320" t="s">
        <v>24</v>
      </c>
      <c r="I320" t="s">
        <v>252</v>
      </c>
    </row>
    <row r="321" spans="1:9" x14ac:dyDescent="0.85">
      <c r="A321">
        <v>31.3</v>
      </c>
      <c r="B321">
        <v>4</v>
      </c>
      <c r="C321">
        <v>120</v>
      </c>
      <c r="D321">
        <v>75</v>
      </c>
      <c r="E321">
        <v>2542</v>
      </c>
      <c r="F321">
        <v>17.5</v>
      </c>
      <c r="G321">
        <v>80</v>
      </c>
      <c r="H321" t="s">
        <v>24</v>
      </c>
      <c r="I321" t="s">
        <v>253</v>
      </c>
    </row>
    <row r="322" spans="1:9" x14ac:dyDescent="0.85">
      <c r="A322">
        <v>37</v>
      </c>
      <c r="B322">
        <v>4</v>
      </c>
      <c r="C322">
        <v>119</v>
      </c>
      <c r="D322">
        <v>92</v>
      </c>
      <c r="E322">
        <v>2434</v>
      </c>
      <c r="F322">
        <v>15</v>
      </c>
      <c r="G322">
        <v>80</v>
      </c>
      <c r="H322" t="s">
        <v>24</v>
      </c>
      <c r="I322" t="s">
        <v>254</v>
      </c>
    </row>
    <row r="323" spans="1:9" x14ac:dyDescent="0.85">
      <c r="A323">
        <v>32.200000000000003</v>
      </c>
      <c r="B323">
        <v>4</v>
      </c>
      <c r="C323">
        <v>108</v>
      </c>
      <c r="D323">
        <v>75</v>
      </c>
      <c r="E323">
        <v>2265</v>
      </c>
      <c r="F323">
        <v>15.2</v>
      </c>
      <c r="G323">
        <v>80</v>
      </c>
      <c r="H323" t="s">
        <v>24</v>
      </c>
      <c r="I323" t="s">
        <v>143</v>
      </c>
    </row>
    <row r="324" spans="1:9" x14ac:dyDescent="0.85">
      <c r="A324">
        <v>46.6</v>
      </c>
      <c r="B324">
        <v>4</v>
      </c>
      <c r="C324">
        <v>86</v>
      </c>
      <c r="D324">
        <v>65</v>
      </c>
      <c r="E324">
        <v>2110</v>
      </c>
      <c r="F324">
        <v>17.899999999999999</v>
      </c>
      <c r="G324">
        <v>80</v>
      </c>
      <c r="H324" t="s">
        <v>24</v>
      </c>
      <c r="I324" t="s">
        <v>255</v>
      </c>
    </row>
    <row r="325" spans="1:9" x14ac:dyDescent="0.85">
      <c r="A325">
        <v>27.9</v>
      </c>
      <c r="B325">
        <v>4</v>
      </c>
      <c r="C325">
        <v>156</v>
      </c>
      <c r="D325">
        <v>105</v>
      </c>
      <c r="E325">
        <v>2800</v>
      </c>
      <c r="F325">
        <v>14.4</v>
      </c>
      <c r="G325">
        <v>80</v>
      </c>
      <c r="H325" t="s">
        <v>9</v>
      </c>
      <c r="I325" t="s">
        <v>128</v>
      </c>
    </row>
    <row r="326" spans="1:9" x14ac:dyDescent="0.85">
      <c r="A326">
        <v>40.799999999999997</v>
      </c>
      <c r="B326">
        <v>4</v>
      </c>
      <c r="C326">
        <v>85</v>
      </c>
      <c r="D326">
        <v>65</v>
      </c>
      <c r="E326">
        <v>2110</v>
      </c>
      <c r="F326">
        <v>19.2</v>
      </c>
      <c r="G326">
        <v>80</v>
      </c>
      <c r="H326" t="s">
        <v>24</v>
      </c>
      <c r="I326" t="s">
        <v>242</v>
      </c>
    </row>
    <row r="327" spans="1:9" x14ac:dyDescent="0.85">
      <c r="A327">
        <v>44.3</v>
      </c>
      <c r="B327">
        <v>4</v>
      </c>
      <c r="C327">
        <v>90</v>
      </c>
      <c r="D327">
        <v>48</v>
      </c>
      <c r="E327">
        <v>2085</v>
      </c>
      <c r="F327">
        <v>21.7</v>
      </c>
      <c r="G327">
        <v>80</v>
      </c>
      <c r="H327" t="s">
        <v>30</v>
      </c>
      <c r="I327" t="s">
        <v>256</v>
      </c>
    </row>
    <row r="328" spans="1:9" x14ac:dyDescent="0.85">
      <c r="A328">
        <v>43.4</v>
      </c>
      <c r="B328">
        <v>4</v>
      </c>
      <c r="C328">
        <v>90</v>
      </c>
      <c r="D328">
        <v>48</v>
      </c>
      <c r="E328">
        <v>2335</v>
      </c>
      <c r="F328">
        <v>23.7</v>
      </c>
      <c r="G328">
        <v>80</v>
      </c>
      <c r="H328" t="s">
        <v>30</v>
      </c>
      <c r="I328" t="s">
        <v>257</v>
      </c>
    </row>
    <row r="329" spans="1:9" x14ac:dyDescent="0.85">
      <c r="A329">
        <v>36.4</v>
      </c>
      <c r="B329">
        <v>5</v>
      </c>
      <c r="C329">
        <v>121</v>
      </c>
      <c r="D329">
        <v>67</v>
      </c>
      <c r="E329">
        <v>2950</v>
      </c>
      <c r="F329">
        <v>19.899999999999999</v>
      </c>
      <c r="G329">
        <v>80</v>
      </c>
      <c r="H329" t="s">
        <v>30</v>
      </c>
      <c r="I329" t="s">
        <v>258</v>
      </c>
    </row>
    <row r="330" spans="1:9" x14ac:dyDescent="0.85">
      <c r="A330">
        <v>30</v>
      </c>
      <c r="B330">
        <v>4</v>
      </c>
      <c r="C330">
        <v>146</v>
      </c>
      <c r="D330">
        <v>67</v>
      </c>
      <c r="E330">
        <v>3250</v>
      </c>
      <c r="F330">
        <v>21.8</v>
      </c>
      <c r="G330">
        <v>80</v>
      </c>
      <c r="H330" t="s">
        <v>30</v>
      </c>
      <c r="I330" t="s">
        <v>259</v>
      </c>
    </row>
    <row r="331" spans="1:9" x14ac:dyDescent="0.85">
      <c r="A331">
        <v>44.6</v>
      </c>
      <c r="B331">
        <v>4</v>
      </c>
      <c r="C331">
        <v>91</v>
      </c>
      <c r="D331">
        <v>67</v>
      </c>
      <c r="E331">
        <v>1850</v>
      </c>
      <c r="F331">
        <v>13.8</v>
      </c>
      <c r="G331">
        <v>80</v>
      </c>
      <c r="H331" t="s">
        <v>24</v>
      </c>
      <c r="I331" t="s">
        <v>260</v>
      </c>
    </row>
    <row r="332" spans="1:9" x14ac:dyDescent="0.85">
      <c r="A332">
        <v>40.9</v>
      </c>
      <c r="B332">
        <v>4</v>
      </c>
      <c r="C332">
        <v>85</v>
      </c>
      <c r="E332">
        <v>1835</v>
      </c>
      <c r="F332">
        <v>17.3</v>
      </c>
      <c r="G332">
        <v>80</v>
      </c>
      <c r="H332" t="s">
        <v>30</v>
      </c>
      <c r="I332" t="s">
        <v>261</v>
      </c>
    </row>
    <row r="333" spans="1:9" x14ac:dyDescent="0.85">
      <c r="A333">
        <v>33.799999999999997</v>
      </c>
      <c r="B333">
        <v>4</v>
      </c>
      <c r="C333">
        <v>97</v>
      </c>
      <c r="D333">
        <v>67</v>
      </c>
      <c r="E333">
        <v>2145</v>
      </c>
      <c r="F333">
        <v>18</v>
      </c>
      <c r="G333">
        <v>80</v>
      </c>
      <c r="H333" t="s">
        <v>24</v>
      </c>
      <c r="I333" t="s">
        <v>189</v>
      </c>
    </row>
    <row r="334" spans="1:9" x14ac:dyDescent="0.85">
      <c r="A334">
        <v>29.8</v>
      </c>
      <c r="B334">
        <v>4</v>
      </c>
      <c r="C334">
        <v>89</v>
      </c>
      <c r="D334">
        <v>62</v>
      </c>
      <c r="E334">
        <v>1845</v>
      </c>
      <c r="F334">
        <v>15.3</v>
      </c>
      <c r="G334">
        <v>80</v>
      </c>
      <c r="H334" t="s">
        <v>30</v>
      </c>
      <c r="I334" t="s">
        <v>262</v>
      </c>
    </row>
    <row r="335" spans="1:9" x14ac:dyDescent="0.85">
      <c r="A335">
        <v>32.700000000000003</v>
      </c>
      <c r="B335">
        <v>6</v>
      </c>
      <c r="C335">
        <v>168</v>
      </c>
      <c r="D335">
        <v>132</v>
      </c>
      <c r="E335">
        <v>2910</v>
      </c>
      <c r="F335">
        <v>11.4</v>
      </c>
      <c r="G335">
        <v>80</v>
      </c>
      <c r="H335" t="s">
        <v>24</v>
      </c>
      <c r="I335" t="s">
        <v>263</v>
      </c>
    </row>
    <row r="336" spans="1:9" x14ac:dyDescent="0.85">
      <c r="A336">
        <v>23.7</v>
      </c>
      <c r="B336">
        <v>3</v>
      </c>
      <c r="C336">
        <v>70</v>
      </c>
      <c r="D336">
        <v>100</v>
      </c>
      <c r="E336">
        <v>2420</v>
      </c>
      <c r="F336">
        <v>12.5</v>
      </c>
      <c r="G336">
        <v>80</v>
      </c>
      <c r="H336" t="s">
        <v>24</v>
      </c>
      <c r="I336" t="s">
        <v>264</v>
      </c>
    </row>
    <row r="337" spans="1:9" x14ac:dyDescent="0.85">
      <c r="A337">
        <v>35</v>
      </c>
      <c r="B337">
        <v>4</v>
      </c>
      <c r="C337">
        <v>122</v>
      </c>
      <c r="D337">
        <v>88</v>
      </c>
      <c r="E337">
        <v>2500</v>
      </c>
      <c r="F337">
        <v>15.1</v>
      </c>
      <c r="G337">
        <v>80</v>
      </c>
      <c r="H337" t="s">
        <v>30</v>
      </c>
      <c r="I337" t="s">
        <v>265</v>
      </c>
    </row>
    <row r="338" spans="1:9" x14ac:dyDescent="0.85">
      <c r="A338">
        <v>23.6</v>
      </c>
      <c r="B338">
        <v>4</v>
      </c>
      <c r="C338">
        <v>140</v>
      </c>
      <c r="E338">
        <v>2905</v>
      </c>
      <c r="F338">
        <v>14.3</v>
      </c>
      <c r="G338">
        <v>80</v>
      </c>
      <c r="H338" t="s">
        <v>9</v>
      </c>
      <c r="I338" t="s">
        <v>266</v>
      </c>
    </row>
    <row r="339" spans="1:9" x14ac:dyDescent="0.85">
      <c r="A339">
        <v>32.4</v>
      </c>
      <c r="B339">
        <v>4</v>
      </c>
      <c r="C339">
        <v>107</v>
      </c>
      <c r="D339">
        <v>72</v>
      </c>
      <c r="E339">
        <v>2290</v>
      </c>
      <c r="F339">
        <v>17</v>
      </c>
      <c r="G339">
        <v>80</v>
      </c>
      <c r="H339" t="s">
        <v>24</v>
      </c>
      <c r="I339" t="s">
        <v>267</v>
      </c>
    </row>
    <row r="340" spans="1:9" x14ac:dyDescent="0.85">
      <c r="A340">
        <v>27.2</v>
      </c>
      <c r="B340">
        <v>4</v>
      </c>
      <c r="C340">
        <v>135</v>
      </c>
      <c r="D340">
        <v>84</v>
      </c>
      <c r="E340">
        <v>2490</v>
      </c>
      <c r="F340">
        <v>15.7</v>
      </c>
      <c r="G340">
        <v>81</v>
      </c>
      <c r="H340" t="s">
        <v>9</v>
      </c>
      <c r="I340" t="s">
        <v>268</v>
      </c>
    </row>
    <row r="341" spans="1:9" x14ac:dyDescent="0.85">
      <c r="A341">
        <v>26.6</v>
      </c>
      <c r="B341">
        <v>4</v>
      </c>
      <c r="C341">
        <v>151</v>
      </c>
      <c r="D341">
        <v>84</v>
      </c>
      <c r="E341">
        <v>2635</v>
      </c>
      <c r="F341">
        <v>16.399999999999999</v>
      </c>
      <c r="G341">
        <v>81</v>
      </c>
      <c r="H341" t="s">
        <v>9</v>
      </c>
      <c r="I341" t="s">
        <v>177</v>
      </c>
    </row>
    <row r="342" spans="1:9" x14ac:dyDescent="0.85">
      <c r="A342">
        <v>25.8</v>
      </c>
      <c r="B342">
        <v>4</v>
      </c>
      <c r="C342">
        <v>156</v>
      </c>
      <c r="D342">
        <v>92</v>
      </c>
      <c r="E342">
        <v>2620</v>
      </c>
      <c r="F342">
        <v>14.4</v>
      </c>
      <c r="G342">
        <v>81</v>
      </c>
      <c r="H342" t="s">
        <v>9</v>
      </c>
      <c r="I342" t="s">
        <v>269</v>
      </c>
    </row>
    <row r="343" spans="1:9" x14ac:dyDescent="0.85">
      <c r="A343">
        <v>23.5</v>
      </c>
      <c r="B343">
        <v>6</v>
      </c>
      <c r="C343">
        <v>173</v>
      </c>
      <c r="D343">
        <v>110</v>
      </c>
      <c r="E343">
        <v>2725</v>
      </c>
      <c r="F343">
        <v>12.6</v>
      </c>
      <c r="G343">
        <v>81</v>
      </c>
      <c r="H343" t="s">
        <v>9</v>
      </c>
      <c r="I343" t="s">
        <v>245</v>
      </c>
    </row>
    <row r="344" spans="1:9" x14ac:dyDescent="0.85">
      <c r="A344">
        <v>30</v>
      </c>
      <c r="B344">
        <v>4</v>
      </c>
      <c r="C344">
        <v>135</v>
      </c>
      <c r="D344">
        <v>84</v>
      </c>
      <c r="E344">
        <v>2385</v>
      </c>
      <c r="F344">
        <v>12.9</v>
      </c>
      <c r="G344">
        <v>81</v>
      </c>
      <c r="H344" t="s">
        <v>9</v>
      </c>
      <c r="I344" t="s">
        <v>268</v>
      </c>
    </row>
    <row r="345" spans="1:9" x14ac:dyDescent="0.85">
      <c r="A345">
        <v>39.1</v>
      </c>
      <c r="B345">
        <v>4</v>
      </c>
      <c r="C345">
        <v>79</v>
      </c>
      <c r="D345">
        <v>58</v>
      </c>
      <c r="E345">
        <v>1755</v>
      </c>
      <c r="F345">
        <v>16.899999999999999</v>
      </c>
      <c r="G345">
        <v>81</v>
      </c>
      <c r="H345" t="s">
        <v>24</v>
      </c>
      <c r="I345" t="s">
        <v>270</v>
      </c>
    </row>
    <row r="346" spans="1:9" x14ac:dyDescent="0.85">
      <c r="A346">
        <v>39</v>
      </c>
      <c r="B346">
        <v>4</v>
      </c>
      <c r="C346">
        <v>86</v>
      </c>
      <c r="D346">
        <v>64</v>
      </c>
      <c r="E346">
        <v>1875</v>
      </c>
      <c r="F346">
        <v>16.399999999999999</v>
      </c>
      <c r="G346">
        <v>81</v>
      </c>
      <c r="H346" t="s">
        <v>9</v>
      </c>
      <c r="I346" t="s">
        <v>271</v>
      </c>
    </row>
    <row r="347" spans="1:9" x14ac:dyDescent="0.85">
      <c r="A347">
        <v>35.1</v>
      </c>
      <c r="B347">
        <v>4</v>
      </c>
      <c r="C347">
        <v>81</v>
      </c>
      <c r="D347">
        <v>60</v>
      </c>
      <c r="E347">
        <v>1760</v>
      </c>
      <c r="F347">
        <v>16.100000000000001</v>
      </c>
      <c r="G347">
        <v>81</v>
      </c>
      <c r="H347" t="s">
        <v>24</v>
      </c>
      <c r="I347" t="s">
        <v>272</v>
      </c>
    </row>
    <row r="348" spans="1:9" x14ac:dyDescent="0.85">
      <c r="A348">
        <v>32.299999999999997</v>
      </c>
      <c r="B348">
        <v>4</v>
      </c>
      <c r="C348">
        <v>97</v>
      </c>
      <c r="D348">
        <v>67</v>
      </c>
      <c r="E348">
        <v>2065</v>
      </c>
      <c r="F348">
        <v>17.8</v>
      </c>
      <c r="G348">
        <v>81</v>
      </c>
      <c r="H348" t="s">
        <v>24</v>
      </c>
      <c r="I348" t="s">
        <v>131</v>
      </c>
    </row>
    <row r="349" spans="1:9" x14ac:dyDescent="0.85">
      <c r="A349">
        <v>37</v>
      </c>
      <c r="B349">
        <v>4</v>
      </c>
      <c r="C349">
        <v>85</v>
      </c>
      <c r="D349">
        <v>65</v>
      </c>
      <c r="E349">
        <v>1975</v>
      </c>
      <c r="F349">
        <v>19.399999999999999</v>
      </c>
      <c r="G349">
        <v>81</v>
      </c>
      <c r="H349" t="s">
        <v>24</v>
      </c>
      <c r="I349" t="s">
        <v>273</v>
      </c>
    </row>
    <row r="350" spans="1:9" x14ac:dyDescent="0.85">
      <c r="A350">
        <v>37.700000000000003</v>
      </c>
      <c r="B350">
        <v>4</v>
      </c>
      <c r="C350">
        <v>89</v>
      </c>
      <c r="D350">
        <v>62</v>
      </c>
      <c r="E350">
        <v>2050</v>
      </c>
      <c r="F350">
        <v>17.3</v>
      </c>
      <c r="G350">
        <v>81</v>
      </c>
      <c r="H350" t="s">
        <v>24</v>
      </c>
      <c r="I350" t="s">
        <v>274</v>
      </c>
    </row>
    <row r="351" spans="1:9" x14ac:dyDescent="0.85">
      <c r="A351">
        <v>34.1</v>
      </c>
      <c r="B351">
        <v>4</v>
      </c>
      <c r="C351">
        <v>91</v>
      </c>
      <c r="D351">
        <v>68</v>
      </c>
      <c r="E351">
        <v>1985</v>
      </c>
      <c r="F351">
        <v>16</v>
      </c>
      <c r="G351">
        <v>81</v>
      </c>
      <c r="H351" t="s">
        <v>24</v>
      </c>
      <c r="I351" t="s">
        <v>275</v>
      </c>
    </row>
    <row r="352" spans="1:9" x14ac:dyDescent="0.85">
      <c r="A352">
        <v>34.700000000000003</v>
      </c>
      <c r="B352">
        <v>4</v>
      </c>
      <c r="C352">
        <v>105</v>
      </c>
      <c r="D352">
        <v>63</v>
      </c>
      <c r="E352">
        <v>2215</v>
      </c>
      <c r="F352">
        <v>14.9</v>
      </c>
      <c r="G352">
        <v>81</v>
      </c>
      <c r="H352" t="s">
        <v>9</v>
      </c>
      <c r="I352" t="s">
        <v>276</v>
      </c>
    </row>
    <row r="353" spans="1:9" x14ac:dyDescent="0.85">
      <c r="A353">
        <v>34.4</v>
      </c>
      <c r="B353">
        <v>4</v>
      </c>
      <c r="C353">
        <v>98</v>
      </c>
      <c r="D353">
        <v>65</v>
      </c>
      <c r="E353">
        <v>2045</v>
      </c>
      <c r="F353">
        <v>16.2</v>
      </c>
      <c r="G353">
        <v>81</v>
      </c>
      <c r="H353" t="s">
        <v>9</v>
      </c>
      <c r="I353" t="s">
        <v>277</v>
      </c>
    </row>
    <row r="354" spans="1:9" x14ac:dyDescent="0.85">
      <c r="A354">
        <v>29.9</v>
      </c>
      <c r="B354">
        <v>4</v>
      </c>
      <c r="C354">
        <v>98</v>
      </c>
      <c r="D354">
        <v>65</v>
      </c>
      <c r="E354">
        <v>2380</v>
      </c>
      <c r="F354">
        <v>20.7</v>
      </c>
      <c r="G354">
        <v>81</v>
      </c>
      <c r="H354" t="s">
        <v>9</v>
      </c>
      <c r="I354" t="s">
        <v>278</v>
      </c>
    </row>
    <row r="355" spans="1:9" x14ac:dyDescent="0.85">
      <c r="A355">
        <v>33</v>
      </c>
      <c r="B355">
        <v>4</v>
      </c>
      <c r="C355">
        <v>105</v>
      </c>
      <c r="D355">
        <v>74</v>
      </c>
      <c r="E355">
        <v>2190</v>
      </c>
      <c r="F355">
        <v>14.2</v>
      </c>
      <c r="G355">
        <v>81</v>
      </c>
      <c r="H355" t="s">
        <v>30</v>
      </c>
      <c r="I355" t="s">
        <v>279</v>
      </c>
    </row>
    <row r="356" spans="1:9" x14ac:dyDescent="0.85">
      <c r="A356">
        <v>34.5</v>
      </c>
      <c r="B356">
        <v>4</v>
      </c>
      <c r="C356">
        <v>100</v>
      </c>
      <c r="E356">
        <v>2320</v>
      </c>
      <c r="F356">
        <v>15.8</v>
      </c>
      <c r="G356">
        <v>81</v>
      </c>
      <c r="H356" t="s">
        <v>30</v>
      </c>
      <c r="I356" t="s">
        <v>280</v>
      </c>
    </row>
    <row r="357" spans="1:9" x14ac:dyDescent="0.85">
      <c r="A357">
        <v>33.700000000000003</v>
      </c>
      <c r="B357">
        <v>4</v>
      </c>
      <c r="C357">
        <v>107</v>
      </c>
      <c r="D357">
        <v>75</v>
      </c>
      <c r="E357">
        <v>2210</v>
      </c>
      <c r="F357">
        <v>14.4</v>
      </c>
      <c r="G357">
        <v>81</v>
      </c>
      <c r="H357" t="s">
        <v>24</v>
      </c>
      <c r="I357" t="s">
        <v>281</v>
      </c>
    </row>
    <row r="358" spans="1:9" x14ac:dyDescent="0.85">
      <c r="A358">
        <v>32.4</v>
      </c>
      <c r="B358">
        <v>4</v>
      </c>
      <c r="C358">
        <v>108</v>
      </c>
      <c r="D358">
        <v>75</v>
      </c>
      <c r="E358">
        <v>2350</v>
      </c>
      <c r="F358">
        <v>16.8</v>
      </c>
      <c r="G358">
        <v>81</v>
      </c>
      <c r="H358" t="s">
        <v>24</v>
      </c>
      <c r="I358" t="s">
        <v>143</v>
      </c>
    </row>
    <row r="359" spans="1:9" x14ac:dyDescent="0.85">
      <c r="A359">
        <v>32.9</v>
      </c>
      <c r="B359">
        <v>4</v>
      </c>
      <c r="C359">
        <v>119</v>
      </c>
      <c r="D359">
        <v>100</v>
      </c>
      <c r="E359">
        <v>2615</v>
      </c>
      <c r="F359">
        <v>14.8</v>
      </c>
      <c r="G359">
        <v>81</v>
      </c>
      <c r="H359" t="s">
        <v>24</v>
      </c>
      <c r="I359" t="s">
        <v>282</v>
      </c>
    </row>
    <row r="360" spans="1:9" x14ac:dyDescent="0.85">
      <c r="A360">
        <v>31.6</v>
      </c>
      <c r="B360">
        <v>4</v>
      </c>
      <c r="C360">
        <v>120</v>
      </c>
      <c r="D360">
        <v>74</v>
      </c>
      <c r="E360">
        <v>2635</v>
      </c>
      <c r="F360">
        <v>18.3</v>
      </c>
      <c r="G360">
        <v>81</v>
      </c>
      <c r="H360" t="s">
        <v>24</v>
      </c>
      <c r="I360" t="s">
        <v>253</v>
      </c>
    </row>
    <row r="361" spans="1:9" x14ac:dyDescent="0.85">
      <c r="A361">
        <v>28.1</v>
      </c>
      <c r="B361">
        <v>4</v>
      </c>
      <c r="C361">
        <v>141</v>
      </c>
      <c r="D361">
        <v>80</v>
      </c>
      <c r="E361">
        <v>3230</v>
      </c>
      <c r="F361">
        <v>20.399999999999999</v>
      </c>
      <c r="G361">
        <v>81</v>
      </c>
      <c r="H361" t="s">
        <v>30</v>
      </c>
      <c r="I361" t="s">
        <v>283</v>
      </c>
    </row>
    <row r="362" spans="1:9" x14ac:dyDescent="0.85">
      <c r="A362">
        <v>30.7</v>
      </c>
      <c r="B362">
        <v>6</v>
      </c>
      <c r="C362">
        <v>145</v>
      </c>
      <c r="D362">
        <v>76</v>
      </c>
      <c r="E362">
        <v>3160</v>
      </c>
      <c r="F362">
        <v>19.600000000000001</v>
      </c>
      <c r="G362">
        <v>81</v>
      </c>
      <c r="H362" t="s">
        <v>30</v>
      </c>
      <c r="I362" t="s">
        <v>284</v>
      </c>
    </row>
    <row r="363" spans="1:9" x14ac:dyDescent="0.85">
      <c r="A363">
        <v>25.4</v>
      </c>
      <c r="B363">
        <v>6</v>
      </c>
      <c r="C363">
        <v>168</v>
      </c>
      <c r="D363">
        <v>116</v>
      </c>
      <c r="E363">
        <v>2900</v>
      </c>
      <c r="F363">
        <v>12.6</v>
      </c>
      <c r="G363">
        <v>81</v>
      </c>
      <c r="H363" t="s">
        <v>24</v>
      </c>
      <c r="I363" t="s">
        <v>285</v>
      </c>
    </row>
    <row r="364" spans="1:9" x14ac:dyDescent="0.85">
      <c r="A364">
        <v>24.2</v>
      </c>
      <c r="B364">
        <v>6</v>
      </c>
      <c r="C364">
        <v>146</v>
      </c>
      <c r="D364">
        <v>120</v>
      </c>
      <c r="E364">
        <v>2930</v>
      </c>
      <c r="F364">
        <v>13.8</v>
      </c>
      <c r="G364">
        <v>81</v>
      </c>
      <c r="H364" t="s">
        <v>24</v>
      </c>
      <c r="I364" t="s">
        <v>286</v>
      </c>
    </row>
    <row r="365" spans="1:9" x14ac:dyDescent="0.85">
      <c r="A365">
        <v>22.4</v>
      </c>
      <c r="B365">
        <v>6</v>
      </c>
      <c r="C365">
        <v>231</v>
      </c>
      <c r="D365">
        <v>110</v>
      </c>
      <c r="E365">
        <v>3415</v>
      </c>
      <c r="F365">
        <v>15.8</v>
      </c>
      <c r="G365">
        <v>81</v>
      </c>
      <c r="H365" t="s">
        <v>9</v>
      </c>
      <c r="I365" t="s">
        <v>137</v>
      </c>
    </row>
    <row r="366" spans="1:9" x14ac:dyDescent="0.85">
      <c r="A366">
        <v>26.6</v>
      </c>
      <c r="B366">
        <v>8</v>
      </c>
      <c r="C366">
        <v>350</v>
      </c>
      <c r="D366">
        <v>105</v>
      </c>
      <c r="E366">
        <v>3725</v>
      </c>
      <c r="F366">
        <v>19</v>
      </c>
      <c r="G366">
        <v>81</v>
      </c>
      <c r="H366" t="s">
        <v>9</v>
      </c>
      <c r="I366" t="s">
        <v>287</v>
      </c>
    </row>
    <row r="367" spans="1:9" x14ac:dyDescent="0.85">
      <c r="A367">
        <v>20.2</v>
      </c>
      <c r="B367">
        <v>6</v>
      </c>
      <c r="C367">
        <v>200</v>
      </c>
      <c r="D367">
        <v>88</v>
      </c>
      <c r="E367">
        <v>3060</v>
      </c>
      <c r="F367">
        <v>17.100000000000001</v>
      </c>
      <c r="G367">
        <v>81</v>
      </c>
      <c r="H367" t="s">
        <v>9</v>
      </c>
      <c r="I367" t="s">
        <v>288</v>
      </c>
    </row>
    <row r="368" spans="1:9" x14ac:dyDescent="0.85">
      <c r="A368">
        <v>17.600000000000001</v>
      </c>
      <c r="B368">
        <v>6</v>
      </c>
      <c r="C368">
        <v>225</v>
      </c>
      <c r="D368">
        <v>85</v>
      </c>
      <c r="E368">
        <v>3465</v>
      </c>
      <c r="F368">
        <v>16.600000000000001</v>
      </c>
      <c r="G368">
        <v>81</v>
      </c>
      <c r="H368" t="s">
        <v>9</v>
      </c>
      <c r="I368" t="s">
        <v>289</v>
      </c>
    </row>
    <row r="369" spans="1:9" x14ac:dyDescent="0.85">
      <c r="A369">
        <v>28</v>
      </c>
      <c r="B369">
        <v>4</v>
      </c>
      <c r="C369">
        <v>112</v>
      </c>
      <c r="D369">
        <v>88</v>
      </c>
      <c r="E369">
        <v>2605</v>
      </c>
      <c r="F369">
        <v>19.600000000000001</v>
      </c>
      <c r="G369">
        <v>82</v>
      </c>
      <c r="H369" t="s">
        <v>9</v>
      </c>
      <c r="I369" t="s">
        <v>290</v>
      </c>
    </row>
    <row r="370" spans="1:9" x14ac:dyDescent="0.85">
      <c r="A370">
        <v>27</v>
      </c>
      <c r="B370">
        <v>4</v>
      </c>
      <c r="C370">
        <v>112</v>
      </c>
      <c r="D370">
        <v>88</v>
      </c>
      <c r="E370">
        <v>2640</v>
      </c>
      <c r="F370">
        <v>18.600000000000001</v>
      </c>
      <c r="G370">
        <v>82</v>
      </c>
      <c r="H370" t="s">
        <v>9</v>
      </c>
      <c r="I370" t="s">
        <v>291</v>
      </c>
    </row>
    <row r="371" spans="1:9" x14ac:dyDescent="0.85">
      <c r="A371">
        <v>34</v>
      </c>
      <c r="B371">
        <v>4</v>
      </c>
      <c r="C371">
        <v>112</v>
      </c>
      <c r="D371">
        <v>88</v>
      </c>
      <c r="E371">
        <v>2395</v>
      </c>
      <c r="F371">
        <v>18</v>
      </c>
      <c r="G371">
        <v>82</v>
      </c>
      <c r="H371" t="s">
        <v>9</v>
      </c>
      <c r="I371" t="s">
        <v>292</v>
      </c>
    </row>
    <row r="372" spans="1:9" x14ac:dyDescent="0.85">
      <c r="A372">
        <v>31</v>
      </c>
      <c r="B372">
        <v>4</v>
      </c>
      <c r="C372">
        <v>112</v>
      </c>
      <c r="D372">
        <v>85</v>
      </c>
      <c r="E372">
        <v>2575</v>
      </c>
      <c r="F372">
        <v>16.2</v>
      </c>
      <c r="G372">
        <v>82</v>
      </c>
      <c r="H372" t="s">
        <v>9</v>
      </c>
      <c r="I372" t="s">
        <v>293</v>
      </c>
    </row>
    <row r="373" spans="1:9" x14ac:dyDescent="0.85">
      <c r="A373">
        <v>29</v>
      </c>
      <c r="B373">
        <v>4</v>
      </c>
      <c r="C373">
        <v>135</v>
      </c>
      <c r="D373">
        <v>84</v>
      </c>
      <c r="E373">
        <v>2525</v>
      </c>
      <c r="F373">
        <v>16</v>
      </c>
      <c r="G373">
        <v>82</v>
      </c>
      <c r="H373" t="s">
        <v>9</v>
      </c>
      <c r="I373" t="s">
        <v>294</v>
      </c>
    </row>
    <row r="374" spans="1:9" x14ac:dyDescent="0.85">
      <c r="A374">
        <v>27</v>
      </c>
      <c r="B374">
        <v>4</v>
      </c>
      <c r="C374">
        <v>151</v>
      </c>
      <c r="D374">
        <v>90</v>
      </c>
      <c r="E374">
        <v>2735</v>
      </c>
      <c r="F374">
        <v>18</v>
      </c>
      <c r="G374">
        <v>82</v>
      </c>
      <c r="H374" t="s">
        <v>9</v>
      </c>
      <c r="I374" t="s">
        <v>247</v>
      </c>
    </row>
    <row r="375" spans="1:9" x14ac:dyDescent="0.85">
      <c r="A375">
        <v>24</v>
      </c>
      <c r="B375">
        <v>4</v>
      </c>
      <c r="C375">
        <v>140</v>
      </c>
      <c r="D375">
        <v>92</v>
      </c>
      <c r="E375">
        <v>2865</v>
      </c>
      <c r="F375">
        <v>16.399999999999999</v>
      </c>
      <c r="G375">
        <v>82</v>
      </c>
      <c r="H375" t="s">
        <v>9</v>
      </c>
      <c r="I375" t="s">
        <v>295</v>
      </c>
    </row>
    <row r="376" spans="1:9" x14ac:dyDescent="0.85">
      <c r="A376">
        <v>23</v>
      </c>
      <c r="B376">
        <v>4</v>
      </c>
      <c r="C376">
        <v>151</v>
      </c>
      <c r="E376">
        <v>3035</v>
      </c>
      <c r="F376">
        <v>20.5</v>
      </c>
      <c r="G376">
        <v>82</v>
      </c>
      <c r="H376" t="s">
        <v>9</v>
      </c>
      <c r="I376" t="s">
        <v>296</v>
      </c>
    </row>
    <row r="377" spans="1:9" x14ac:dyDescent="0.85">
      <c r="A377">
        <v>36</v>
      </c>
      <c r="B377">
        <v>4</v>
      </c>
      <c r="C377">
        <v>105</v>
      </c>
      <c r="D377">
        <v>74</v>
      </c>
      <c r="E377">
        <v>1980</v>
      </c>
      <c r="F377">
        <v>15.3</v>
      </c>
      <c r="G377">
        <v>82</v>
      </c>
      <c r="H377" t="s">
        <v>30</v>
      </c>
      <c r="I377" t="s">
        <v>297</v>
      </c>
    </row>
    <row r="378" spans="1:9" x14ac:dyDescent="0.85">
      <c r="A378">
        <v>37</v>
      </c>
      <c r="B378">
        <v>4</v>
      </c>
      <c r="C378">
        <v>91</v>
      </c>
      <c r="D378">
        <v>68</v>
      </c>
      <c r="E378">
        <v>2025</v>
      </c>
      <c r="F378">
        <v>18.2</v>
      </c>
      <c r="G378">
        <v>82</v>
      </c>
      <c r="H378" t="s">
        <v>24</v>
      </c>
      <c r="I378" t="s">
        <v>298</v>
      </c>
    </row>
    <row r="379" spans="1:9" x14ac:dyDescent="0.85">
      <c r="A379">
        <v>31</v>
      </c>
      <c r="B379">
        <v>4</v>
      </c>
      <c r="C379">
        <v>91</v>
      </c>
      <c r="D379">
        <v>68</v>
      </c>
      <c r="E379">
        <v>1970</v>
      </c>
      <c r="F379">
        <v>17.600000000000001</v>
      </c>
      <c r="G379">
        <v>82</v>
      </c>
      <c r="H379" t="s">
        <v>24</v>
      </c>
      <c r="I379" t="s">
        <v>299</v>
      </c>
    </row>
    <row r="380" spans="1:9" x14ac:dyDescent="0.85">
      <c r="A380">
        <v>38</v>
      </c>
      <c r="B380">
        <v>4</v>
      </c>
      <c r="C380">
        <v>105</v>
      </c>
      <c r="D380">
        <v>63</v>
      </c>
      <c r="E380">
        <v>2125</v>
      </c>
      <c r="F380">
        <v>14.7</v>
      </c>
      <c r="G380">
        <v>82</v>
      </c>
      <c r="H380" t="s">
        <v>9</v>
      </c>
      <c r="I380" t="s">
        <v>300</v>
      </c>
    </row>
    <row r="381" spans="1:9" x14ac:dyDescent="0.85">
      <c r="A381">
        <v>36</v>
      </c>
      <c r="B381">
        <v>4</v>
      </c>
      <c r="C381">
        <v>98</v>
      </c>
      <c r="D381">
        <v>70</v>
      </c>
      <c r="E381">
        <v>2125</v>
      </c>
      <c r="F381">
        <v>17.3</v>
      </c>
      <c r="G381">
        <v>82</v>
      </c>
      <c r="H381" t="s">
        <v>9</v>
      </c>
      <c r="I381" t="s">
        <v>301</v>
      </c>
    </row>
    <row r="382" spans="1:9" x14ac:dyDescent="0.85">
      <c r="A382">
        <v>36</v>
      </c>
      <c r="B382">
        <v>4</v>
      </c>
      <c r="C382">
        <v>120</v>
      </c>
      <c r="D382">
        <v>88</v>
      </c>
      <c r="E382">
        <v>2160</v>
      </c>
      <c r="F382">
        <v>14.5</v>
      </c>
      <c r="G382">
        <v>82</v>
      </c>
      <c r="H382" t="s">
        <v>24</v>
      </c>
      <c r="I382" t="s">
        <v>302</v>
      </c>
    </row>
    <row r="383" spans="1:9" x14ac:dyDescent="0.85">
      <c r="A383">
        <v>36</v>
      </c>
      <c r="B383">
        <v>4</v>
      </c>
      <c r="C383">
        <v>107</v>
      </c>
      <c r="D383">
        <v>75</v>
      </c>
      <c r="E383">
        <v>2205</v>
      </c>
      <c r="F383">
        <v>14.5</v>
      </c>
      <c r="G383">
        <v>82</v>
      </c>
      <c r="H383" t="s">
        <v>24</v>
      </c>
      <c r="I383" t="s">
        <v>267</v>
      </c>
    </row>
    <row r="384" spans="1:9" x14ac:dyDescent="0.85">
      <c r="A384">
        <v>34</v>
      </c>
      <c r="B384">
        <v>4</v>
      </c>
      <c r="C384">
        <v>108</v>
      </c>
      <c r="D384">
        <v>70</v>
      </c>
      <c r="E384">
        <v>2245</v>
      </c>
      <c r="F384">
        <v>16.899999999999999</v>
      </c>
      <c r="G384">
        <v>82</v>
      </c>
      <c r="H384" t="s">
        <v>24</v>
      </c>
      <c r="I384" t="s">
        <v>143</v>
      </c>
    </row>
    <row r="385" spans="1:9" x14ac:dyDescent="0.85">
      <c r="A385">
        <v>38</v>
      </c>
      <c r="B385">
        <v>4</v>
      </c>
      <c r="C385">
        <v>91</v>
      </c>
      <c r="D385">
        <v>67</v>
      </c>
      <c r="E385">
        <v>1965</v>
      </c>
      <c r="F385">
        <v>15</v>
      </c>
      <c r="G385">
        <v>82</v>
      </c>
      <c r="H385" t="s">
        <v>24</v>
      </c>
      <c r="I385" t="s">
        <v>130</v>
      </c>
    </row>
    <row r="386" spans="1:9" x14ac:dyDescent="0.85">
      <c r="A386">
        <v>32</v>
      </c>
      <c r="B386">
        <v>4</v>
      </c>
      <c r="C386">
        <v>91</v>
      </c>
      <c r="D386">
        <v>67</v>
      </c>
      <c r="E386">
        <v>1965</v>
      </c>
      <c r="F386">
        <v>15.7</v>
      </c>
      <c r="G386">
        <v>82</v>
      </c>
      <c r="H386" t="s">
        <v>24</v>
      </c>
      <c r="I386" t="s">
        <v>303</v>
      </c>
    </row>
    <row r="387" spans="1:9" x14ac:dyDescent="0.85">
      <c r="A387">
        <v>38</v>
      </c>
      <c r="B387">
        <v>4</v>
      </c>
      <c r="C387">
        <v>91</v>
      </c>
      <c r="D387">
        <v>67</v>
      </c>
      <c r="E387">
        <v>1995</v>
      </c>
      <c r="F387">
        <v>16.2</v>
      </c>
      <c r="G387">
        <v>82</v>
      </c>
      <c r="H387" t="s">
        <v>24</v>
      </c>
      <c r="I387" t="s">
        <v>304</v>
      </c>
    </row>
    <row r="388" spans="1:9" x14ac:dyDescent="0.85">
      <c r="A388">
        <v>25</v>
      </c>
      <c r="B388">
        <v>6</v>
      </c>
      <c r="C388">
        <v>181</v>
      </c>
      <c r="D388">
        <v>110</v>
      </c>
      <c r="E388">
        <v>2945</v>
      </c>
      <c r="F388">
        <v>16.399999999999999</v>
      </c>
      <c r="G388">
        <v>82</v>
      </c>
      <c r="H388" t="s">
        <v>9</v>
      </c>
      <c r="I388" t="s">
        <v>305</v>
      </c>
    </row>
    <row r="389" spans="1:9" x14ac:dyDescent="0.85">
      <c r="A389">
        <v>38</v>
      </c>
      <c r="B389">
        <v>6</v>
      </c>
      <c r="C389">
        <v>262</v>
      </c>
      <c r="D389">
        <v>85</v>
      </c>
      <c r="E389">
        <v>3015</v>
      </c>
      <c r="F389">
        <v>17</v>
      </c>
      <c r="G389">
        <v>82</v>
      </c>
      <c r="H389" t="s">
        <v>9</v>
      </c>
      <c r="I389" t="s">
        <v>306</v>
      </c>
    </row>
    <row r="390" spans="1:9" x14ac:dyDescent="0.85">
      <c r="A390">
        <v>26</v>
      </c>
      <c r="B390">
        <v>4</v>
      </c>
      <c r="C390">
        <v>156</v>
      </c>
      <c r="D390">
        <v>92</v>
      </c>
      <c r="E390">
        <v>2585</v>
      </c>
      <c r="F390">
        <v>14.5</v>
      </c>
      <c r="G390">
        <v>82</v>
      </c>
      <c r="H390" t="s">
        <v>9</v>
      </c>
      <c r="I390" t="s">
        <v>307</v>
      </c>
    </row>
    <row r="391" spans="1:9" x14ac:dyDescent="0.85">
      <c r="A391">
        <v>22</v>
      </c>
      <c r="B391">
        <v>6</v>
      </c>
      <c r="C391">
        <v>232</v>
      </c>
      <c r="D391">
        <v>112</v>
      </c>
      <c r="E391">
        <v>2835</v>
      </c>
      <c r="F391">
        <v>14.7</v>
      </c>
      <c r="G391">
        <v>82</v>
      </c>
      <c r="H391" t="s">
        <v>9</v>
      </c>
      <c r="I391" t="s">
        <v>308</v>
      </c>
    </row>
    <row r="392" spans="1:9" x14ac:dyDescent="0.85">
      <c r="A392">
        <v>32</v>
      </c>
      <c r="B392">
        <v>4</v>
      </c>
      <c r="C392">
        <v>144</v>
      </c>
      <c r="D392">
        <v>96</v>
      </c>
      <c r="E392">
        <v>2665</v>
      </c>
      <c r="F392">
        <v>13.9</v>
      </c>
      <c r="G392">
        <v>82</v>
      </c>
      <c r="H392" t="s">
        <v>24</v>
      </c>
      <c r="I392" t="s">
        <v>309</v>
      </c>
    </row>
    <row r="393" spans="1:9" x14ac:dyDescent="0.85">
      <c r="A393">
        <v>36</v>
      </c>
      <c r="B393">
        <v>4</v>
      </c>
      <c r="C393">
        <v>135</v>
      </c>
      <c r="D393">
        <v>84</v>
      </c>
      <c r="E393">
        <v>2370</v>
      </c>
      <c r="F393">
        <v>13</v>
      </c>
      <c r="G393">
        <v>82</v>
      </c>
      <c r="H393" t="s">
        <v>9</v>
      </c>
      <c r="I393" t="s">
        <v>310</v>
      </c>
    </row>
    <row r="394" spans="1:9" x14ac:dyDescent="0.85">
      <c r="A394">
        <v>27</v>
      </c>
      <c r="B394">
        <v>4</v>
      </c>
      <c r="C394">
        <v>151</v>
      </c>
      <c r="D394">
        <v>90</v>
      </c>
      <c r="E394">
        <v>2950</v>
      </c>
      <c r="F394">
        <v>17.3</v>
      </c>
      <c r="G394">
        <v>82</v>
      </c>
      <c r="H394" t="s">
        <v>9</v>
      </c>
      <c r="I394" t="s">
        <v>311</v>
      </c>
    </row>
    <row r="395" spans="1:9" x14ac:dyDescent="0.85">
      <c r="A395">
        <v>27</v>
      </c>
      <c r="B395">
        <v>4</v>
      </c>
      <c r="C395">
        <v>140</v>
      </c>
      <c r="D395">
        <v>86</v>
      </c>
      <c r="E395">
        <v>2790</v>
      </c>
      <c r="F395">
        <v>15.6</v>
      </c>
      <c r="G395">
        <v>82</v>
      </c>
      <c r="H395" t="s">
        <v>9</v>
      </c>
      <c r="I395" t="s">
        <v>312</v>
      </c>
    </row>
    <row r="396" spans="1:9" x14ac:dyDescent="0.85">
      <c r="A396">
        <v>44</v>
      </c>
      <c r="B396">
        <v>4</v>
      </c>
      <c r="C396">
        <v>97</v>
      </c>
      <c r="D396">
        <v>52</v>
      </c>
      <c r="E396">
        <v>2130</v>
      </c>
      <c r="F396">
        <v>24.6</v>
      </c>
      <c r="G396">
        <v>82</v>
      </c>
      <c r="H396" t="s">
        <v>30</v>
      </c>
      <c r="I396" t="s">
        <v>313</v>
      </c>
    </row>
    <row r="397" spans="1:9" x14ac:dyDescent="0.85">
      <c r="A397">
        <v>32</v>
      </c>
      <c r="B397">
        <v>4</v>
      </c>
      <c r="C397">
        <v>135</v>
      </c>
      <c r="D397">
        <v>84</v>
      </c>
      <c r="E397">
        <v>2295</v>
      </c>
      <c r="F397">
        <v>11.6</v>
      </c>
      <c r="G397">
        <v>82</v>
      </c>
      <c r="H397" t="s">
        <v>9</v>
      </c>
      <c r="I397" t="s">
        <v>314</v>
      </c>
    </row>
    <row r="398" spans="1:9" x14ac:dyDescent="0.85">
      <c r="A398">
        <v>28</v>
      </c>
      <c r="B398">
        <v>4</v>
      </c>
      <c r="C398">
        <v>120</v>
      </c>
      <c r="D398">
        <v>79</v>
      </c>
      <c r="E398">
        <v>2625</v>
      </c>
      <c r="F398">
        <v>18.600000000000001</v>
      </c>
      <c r="G398">
        <v>82</v>
      </c>
      <c r="H398" t="s">
        <v>9</v>
      </c>
      <c r="I398" t="s">
        <v>315</v>
      </c>
    </row>
    <row r="399" spans="1:9" x14ac:dyDescent="0.85">
      <c r="A399">
        <v>31</v>
      </c>
      <c r="B399">
        <v>4</v>
      </c>
      <c r="C399">
        <v>119</v>
      </c>
      <c r="D399">
        <v>82</v>
      </c>
      <c r="E399">
        <v>2720</v>
      </c>
      <c r="F399">
        <v>19.399999999999999</v>
      </c>
      <c r="G399">
        <v>82</v>
      </c>
      <c r="H399" t="s">
        <v>9</v>
      </c>
      <c r="I399" t="s">
        <v>316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0001E-B435-4658-8DE4-D62529504D2F}">
  <dimension ref="A1:J128"/>
  <sheetViews>
    <sheetView workbookViewId="0"/>
  </sheetViews>
  <sheetFormatPr defaultRowHeight="24" x14ac:dyDescent="0.85"/>
  <sheetData>
    <row r="1" spans="1:10" ht="31.7" x14ac:dyDescent="1.1000000000000001">
      <c r="A1" s="1" t="s">
        <v>317</v>
      </c>
    </row>
    <row r="2" spans="1:10" x14ac:dyDescent="0.85">
      <c r="A2" t="s">
        <v>318</v>
      </c>
    </row>
    <row r="5" spans="1:10" x14ac:dyDescent="0.85">
      <c r="A5" s="2" t="s">
        <v>319</v>
      </c>
    </row>
    <row r="6" spans="1:10" x14ac:dyDescent="0.85">
      <c r="A6" t="e" cm="1" vm="1">
        <f t="array" ref="A6">_xlfn._xlws.PY(0,1,autompg[[#Headers],[#Data]])</f>
        <v>#VALUE!</v>
      </c>
    </row>
    <row r="8" spans="1:10" x14ac:dyDescent="0.85">
      <c r="A8" s="3" t="s">
        <v>320</v>
      </c>
    </row>
    <row r="9" spans="1:10" x14ac:dyDescent="0.85">
      <c r="A9" t="str" cm="1">
        <f t="array" ref="A9:J20">IFERROR(_FV(A6,"arrayPreview"),_xlfn._DF_Python_str(A6))</f>
        <v/>
      </c>
      <c r="B9" t="str">
        <v>mpg</v>
      </c>
      <c r="C9" t="str">
        <v>cylinders</v>
      </c>
      <c r="D9" t="str">
        <v>displacement</v>
      </c>
      <c r="E9" t="str">
        <v>horsepower</v>
      </c>
      <c r="F9" t="str">
        <v>weight</v>
      </c>
      <c r="G9" t="str">
        <v>acceleration</v>
      </c>
      <c r="H9" t="str">
        <v>model_year</v>
      </c>
      <c r="I9" t="str">
        <v>origin</v>
      </c>
      <c r="J9" t="str">
        <v>name</v>
      </c>
    </row>
    <row r="10" spans="1:10" x14ac:dyDescent="0.85">
      <c r="A10">
        <v>0</v>
      </c>
      <c r="B10">
        <v>18</v>
      </c>
      <c r="C10">
        <v>8</v>
      </c>
      <c r="D10">
        <v>307</v>
      </c>
      <c r="E10">
        <v>130</v>
      </c>
      <c r="F10">
        <v>3504</v>
      </c>
      <c r="G10">
        <v>12</v>
      </c>
      <c r="H10">
        <v>70</v>
      </c>
      <c r="I10" t="str">
        <v>usa</v>
      </c>
      <c r="J10" t="str">
        <v>chevrolet chevelle malibu</v>
      </c>
    </row>
    <row r="11" spans="1:10" x14ac:dyDescent="0.85">
      <c r="A11">
        <v>1</v>
      </c>
      <c r="B11">
        <v>15</v>
      </c>
      <c r="C11">
        <v>8</v>
      </c>
      <c r="D11">
        <v>350</v>
      </c>
      <c r="E11">
        <v>165</v>
      </c>
      <c r="F11">
        <v>3693</v>
      </c>
      <c r="G11">
        <v>11.5</v>
      </c>
      <c r="H11">
        <v>70</v>
      </c>
      <c r="I11" t="str">
        <v>usa</v>
      </c>
      <c r="J11" t="str">
        <v>buick skylark 320</v>
      </c>
    </row>
    <row r="12" spans="1:10" x14ac:dyDescent="0.85">
      <c r="A12">
        <v>2</v>
      </c>
      <c r="B12">
        <v>18</v>
      </c>
      <c r="C12">
        <v>8</v>
      </c>
      <c r="D12">
        <v>318</v>
      </c>
      <c r="E12">
        <v>150</v>
      </c>
      <c r="F12">
        <v>3436</v>
      </c>
      <c r="G12">
        <v>11</v>
      </c>
      <c r="H12">
        <v>70</v>
      </c>
      <c r="I12" t="str">
        <v>usa</v>
      </c>
      <c r="J12" t="str">
        <v>plymouth satellite</v>
      </c>
    </row>
    <row r="13" spans="1:10" x14ac:dyDescent="0.85">
      <c r="A13">
        <v>3</v>
      </c>
      <c r="B13">
        <v>16</v>
      </c>
      <c r="C13">
        <v>8</v>
      </c>
      <c r="D13">
        <v>304</v>
      </c>
      <c r="E13">
        <v>150</v>
      </c>
      <c r="F13">
        <v>3433</v>
      </c>
      <c r="G13">
        <v>12</v>
      </c>
      <c r="H13">
        <v>70</v>
      </c>
      <c r="I13" t="str">
        <v>usa</v>
      </c>
      <c r="J13" t="str">
        <v>amc rebel sst</v>
      </c>
    </row>
    <row r="14" spans="1:10" x14ac:dyDescent="0.85">
      <c r="A14">
        <v>4</v>
      </c>
      <c r="B14">
        <v>17</v>
      </c>
      <c r="C14">
        <v>8</v>
      </c>
      <c r="D14">
        <v>302</v>
      </c>
      <c r="E14">
        <v>140</v>
      </c>
      <c r="F14">
        <v>3449</v>
      </c>
      <c r="G14">
        <v>10.5</v>
      </c>
      <c r="H14">
        <v>70</v>
      </c>
      <c r="I14" t="str">
        <v>usa</v>
      </c>
      <c r="J14" t="str">
        <v>ford torino</v>
      </c>
    </row>
    <row r="15" spans="1:10" x14ac:dyDescent="0.85">
      <c r="A15" t="str">
        <v>...</v>
      </c>
      <c r="B15" t="str">
        <v>...</v>
      </c>
      <c r="C15" t="str">
        <v>...</v>
      </c>
      <c r="D15" t="str">
        <v>...</v>
      </c>
      <c r="E15" t="str">
        <v>...</v>
      </c>
      <c r="F15" t="str">
        <v>...</v>
      </c>
      <c r="G15" t="str">
        <v>...</v>
      </c>
      <c r="H15" t="str">
        <v>...</v>
      </c>
      <c r="I15" t="str">
        <v>...</v>
      </c>
      <c r="J15" t="str">
        <v>...</v>
      </c>
    </row>
    <row r="16" spans="1:10" x14ac:dyDescent="0.85">
      <c r="A16">
        <v>393</v>
      </c>
      <c r="B16">
        <v>27</v>
      </c>
      <c r="C16">
        <v>4</v>
      </c>
      <c r="D16">
        <v>140</v>
      </c>
      <c r="E16">
        <v>86</v>
      </c>
      <c r="F16">
        <v>2790</v>
      </c>
      <c r="G16">
        <v>15.6</v>
      </c>
      <c r="H16">
        <v>82</v>
      </c>
      <c r="I16" t="str">
        <v>usa</v>
      </c>
      <c r="J16" t="str">
        <v>ford mustang gl</v>
      </c>
    </row>
    <row r="17" spans="1:10" x14ac:dyDescent="0.85">
      <c r="A17">
        <v>394</v>
      </c>
      <c r="B17">
        <v>44</v>
      </c>
      <c r="C17">
        <v>4</v>
      </c>
      <c r="D17">
        <v>97</v>
      </c>
      <c r="E17">
        <v>52</v>
      </c>
      <c r="F17">
        <v>2130</v>
      </c>
      <c r="G17">
        <v>24.6</v>
      </c>
      <c r="H17">
        <v>82</v>
      </c>
      <c r="I17" t="str">
        <v>europe</v>
      </c>
      <c r="J17" t="str">
        <v>vw pickup</v>
      </c>
    </row>
    <row r="18" spans="1:10" x14ac:dyDescent="0.85">
      <c r="A18">
        <v>395</v>
      </c>
      <c r="B18">
        <v>32</v>
      </c>
      <c r="C18">
        <v>4</v>
      </c>
      <c r="D18">
        <v>135</v>
      </c>
      <c r="E18">
        <v>84</v>
      </c>
      <c r="F18">
        <v>2295</v>
      </c>
      <c r="G18">
        <v>11.6</v>
      </c>
      <c r="H18">
        <v>82</v>
      </c>
      <c r="I18" t="str">
        <v>usa</v>
      </c>
      <c r="J18" t="str">
        <v>dodge rampage</v>
      </c>
    </row>
    <row r="19" spans="1:10" x14ac:dyDescent="0.85">
      <c r="A19">
        <v>396</v>
      </c>
      <c r="B19">
        <v>28</v>
      </c>
      <c r="C19">
        <v>4</v>
      </c>
      <c r="D19">
        <v>120</v>
      </c>
      <c r="E19">
        <v>79</v>
      </c>
      <c r="F19">
        <v>2625</v>
      </c>
      <c r="G19">
        <v>18.600000000000001</v>
      </c>
      <c r="H19">
        <v>82</v>
      </c>
      <c r="I19" t="str">
        <v>usa</v>
      </c>
      <c r="J19" t="str">
        <v>ford ranger</v>
      </c>
    </row>
    <row r="20" spans="1:10" x14ac:dyDescent="0.85">
      <c r="A20">
        <v>397</v>
      </c>
      <c r="B20">
        <v>31</v>
      </c>
      <c r="C20">
        <v>4</v>
      </c>
      <c r="D20">
        <v>119</v>
      </c>
      <c r="E20">
        <v>82</v>
      </c>
      <c r="F20">
        <v>2720</v>
      </c>
      <c r="G20">
        <v>19.399999999999999</v>
      </c>
      <c r="H20">
        <v>82</v>
      </c>
      <c r="I20" t="str">
        <v>usa</v>
      </c>
      <c r="J20" t="str">
        <v>chevy s-10</v>
      </c>
    </row>
    <row r="23" spans="1:10" x14ac:dyDescent="0.85">
      <c r="A23" s="2" t="s">
        <v>321</v>
      </c>
    </row>
    <row r="24" spans="1:10" x14ac:dyDescent="0.85">
      <c r="A24" t="e" cm="1" vm="2">
        <f t="array" ref="A24">_xlfn._xlws.PY(1,1)</f>
        <v>#VALUE!</v>
      </c>
    </row>
    <row r="26" spans="1:10" x14ac:dyDescent="0.85">
      <c r="A26" s="3" t="s">
        <v>320</v>
      </c>
    </row>
    <row r="27" spans="1:10" x14ac:dyDescent="0.85">
      <c r="A27" t="str" cm="1">
        <f t="array" ref="A27:C36">IFERROR(_FV(A24,"arrayPreview"),_xlfn._DF_Python_str(A24))</f>
        <v/>
      </c>
      <c r="B27" t="str">
        <v>missing_values</v>
      </c>
      <c r="C27" t="str">
        <v>data_types</v>
      </c>
    </row>
    <row r="28" spans="1:10" x14ac:dyDescent="0.85">
      <c r="A28" t="str">
        <v>mpg</v>
      </c>
      <c r="B28">
        <v>0</v>
      </c>
      <c r="C28" t="str">
        <v>&lt;Float64DType&gt;</v>
      </c>
    </row>
    <row r="29" spans="1:10" x14ac:dyDescent="0.85">
      <c r="A29" t="str">
        <v>cylinders</v>
      </c>
      <c r="B29">
        <v>0</v>
      </c>
      <c r="C29" t="str">
        <v>&lt;Int64DType&gt;</v>
      </c>
    </row>
    <row r="30" spans="1:10" x14ac:dyDescent="0.85">
      <c r="A30" t="str">
        <v>displacement</v>
      </c>
      <c r="B30">
        <v>0</v>
      </c>
      <c r="C30" t="str">
        <v>&lt;Float64DType&gt;</v>
      </c>
    </row>
    <row r="31" spans="1:10" x14ac:dyDescent="0.85">
      <c r="A31" t="str">
        <v>horsepower</v>
      </c>
      <c r="B31">
        <v>6</v>
      </c>
      <c r="C31" t="str">
        <v>&lt;Float64DType&gt;</v>
      </c>
    </row>
    <row r="32" spans="1:10" x14ac:dyDescent="0.85">
      <c r="A32" t="str">
        <v>weight</v>
      </c>
      <c r="B32">
        <v>0</v>
      </c>
      <c r="C32" t="str">
        <v>&lt;Int64DType&gt;</v>
      </c>
    </row>
    <row r="33" spans="1:9" x14ac:dyDescent="0.85">
      <c r="A33" t="str">
        <v>acceleration</v>
      </c>
      <c r="B33">
        <v>0</v>
      </c>
      <c r="C33" t="str">
        <v>&lt;Float64DType&gt;</v>
      </c>
    </row>
    <row r="34" spans="1:9" x14ac:dyDescent="0.85">
      <c r="A34" t="str">
        <v>model_year</v>
      </c>
      <c r="B34">
        <v>0</v>
      </c>
      <c r="C34" t="str">
        <v>&lt;Int64DType&gt;</v>
      </c>
    </row>
    <row r="35" spans="1:9" x14ac:dyDescent="0.85">
      <c r="A35" t="str">
        <v>origin</v>
      </c>
      <c r="B35">
        <v>0</v>
      </c>
      <c r="C35" t="str">
        <v>&lt;ObjectDType&gt;</v>
      </c>
    </row>
    <row r="36" spans="1:9" x14ac:dyDescent="0.85">
      <c r="A36" t="str">
        <v>name</v>
      </c>
      <c r="B36">
        <v>0</v>
      </c>
      <c r="C36" t="str">
        <v>&lt;ObjectDType&gt;</v>
      </c>
    </row>
    <row r="39" spans="1:9" x14ac:dyDescent="0.85">
      <c r="A39" s="2" t="s">
        <v>322</v>
      </c>
    </row>
    <row r="40" spans="1:9" x14ac:dyDescent="0.85">
      <c r="A40" cm="1" vm="3">
        <f t="array" ref="A40">_xlfn._xlws.PY(2,1)</f>
        <v>0</v>
      </c>
    </row>
    <row r="43" spans="1:9" x14ac:dyDescent="0.85">
      <c r="A43" s="2" t="s">
        <v>323</v>
      </c>
    </row>
    <row r="44" spans="1:9" x14ac:dyDescent="0.85">
      <c r="A44" t="e" cm="1" vm="4">
        <f t="array" ref="A44">_xlfn._xlws.PY(3,1)</f>
        <v>#VALUE!</v>
      </c>
    </row>
    <row r="46" spans="1:9" x14ac:dyDescent="0.85">
      <c r="A46" s="3" t="s">
        <v>320</v>
      </c>
    </row>
    <row r="47" spans="1:9" x14ac:dyDescent="0.85">
      <c r="A47" t="str" cm="1">
        <f t="array" ref="A47:I54">IFERROR(_FV(A44,"arrayPreview"),_xlfn._DF_Python_str(A44))</f>
        <v/>
      </c>
      <c r="B47" t="str">
        <v>count</v>
      </c>
      <c r="C47" t="str">
        <v>mean</v>
      </c>
      <c r="D47" t="str">
        <v>std</v>
      </c>
      <c r="E47" t="str">
        <v>min</v>
      </c>
      <c r="F47" t="str">
        <v>25%</v>
      </c>
      <c r="G47" t="str">
        <v>50%</v>
      </c>
      <c r="H47" t="str">
        <v>75%</v>
      </c>
      <c r="I47" t="str">
        <v>max</v>
      </c>
    </row>
    <row r="48" spans="1:9" x14ac:dyDescent="0.85">
      <c r="A48" t="str">
        <v>mpg</v>
      </c>
      <c r="B48">
        <v>398</v>
      </c>
      <c r="C48">
        <v>23.514572864321607</v>
      </c>
      <c r="D48">
        <v>7.8159843125657824</v>
      </c>
      <c r="E48">
        <v>9</v>
      </c>
      <c r="F48">
        <v>17.5</v>
      </c>
      <c r="G48">
        <v>23</v>
      </c>
      <c r="H48">
        <v>29</v>
      </c>
      <c r="I48">
        <v>46.6</v>
      </c>
    </row>
    <row r="49" spans="1:9" x14ac:dyDescent="0.85">
      <c r="A49" t="str">
        <v>cylinders</v>
      </c>
      <c r="B49">
        <v>398</v>
      </c>
      <c r="C49">
        <v>5.4547738693467336</v>
      </c>
      <c r="D49">
        <v>1.7010042445332094</v>
      </c>
      <c r="E49">
        <v>3</v>
      </c>
      <c r="F49">
        <v>4</v>
      </c>
      <c r="G49">
        <v>4</v>
      </c>
      <c r="H49">
        <v>8</v>
      </c>
      <c r="I49">
        <v>8</v>
      </c>
    </row>
    <row r="50" spans="1:9" x14ac:dyDescent="0.85">
      <c r="A50" t="str">
        <v>displacement</v>
      </c>
      <c r="B50">
        <v>398</v>
      </c>
      <c r="C50">
        <v>193.42587939698493</v>
      </c>
      <c r="D50">
        <v>104.26983817119581</v>
      </c>
      <c r="E50">
        <v>68</v>
      </c>
      <c r="F50">
        <v>104.25</v>
      </c>
      <c r="G50">
        <v>148.5</v>
      </c>
      <c r="H50">
        <v>262</v>
      </c>
      <c r="I50">
        <v>455</v>
      </c>
    </row>
    <row r="51" spans="1:9" x14ac:dyDescent="0.85">
      <c r="A51" t="str">
        <v>horsepower</v>
      </c>
      <c r="B51">
        <v>398</v>
      </c>
      <c r="C51">
        <v>104.30402010050251</v>
      </c>
      <c r="D51">
        <v>38.222624868108682</v>
      </c>
      <c r="E51">
        <v>46</v>
      </c>
      <c r="F51">
        <v>76</v>
      </c>
      <c r="G51">
        <v>93.5</v>
      </c>
      <c r="H51">
        <v>125</v>
      </c>
      <c r="I51">
        <v>230</v>
      </c>
    </row>
    <row r="52" spans="1:9" x14ac:dyDescent="0.85">
      <c r="A52" t="str">
        <v>weight</v>
      </c>
      <c r="B52">
        <v>398</v>
      </c>
      <c r="C52">
        <v>2970.424623115578</v>
      </c>
      <c r="D52">
        <v>846.84177419732714</v>
      </c>
      <c r="E52">
        <v>1613</v>
      </c>
      <c r="F52">
        <v>2223.75</v>
      </c>
      <c r="G52">
        <v>2803.5</v>
      </c>
      <c r="H52">
        <v>3608</v>
      </c>
      <c r="I52">
        <v>5140</v>
      </c>
    </row>
    <row r="53" spans="1:9" x14ac:dyDescent="0.85">
      <c r="A53" t="str">
        <v>acceleration</v>
      </c>
      <c r="B53">
        <v>398</v>
      </c>
      <c r="C53">
        <v>15.568090452261307</v>
      </c>
      <c r="D53">
        <v>2.7576889298126757</v>
      </c>
      <c r="E53">
        <v>8</v>
      </c>
      <c r="F53">
        <v>13.825000000000001</v>
      </c>
      <c r="G53">
        <v>15.5</v>
      </c>
      <c r="H53">
        <v>17.175000000000001</v>
      </c>
      <c r="I53">
        <v>24.8</v>
      </c>
    </row>
    <row r="54" spans="1:9" x14ac:dyDescent="0.85">
      <c r="A54" t="str">
        <v>model_year</v>
      </c>
      <c r="B54">
        <v>398</v>
      </c>
      <c r="C54">
        <v>76.010050251256288</v>
      </c>
      <c r="D54">
        <v>3.6976266467326231</v>
      </c>
      <c r="E54">
        <v>70</v>
      </c>
      <c r="F54">
        <v>73</v>
      </c>
      <c r="G54">
        <v>76</v>
      </c>
      <c r="H54">
        <v>79</v>
      </c>
      <c r="I54">
        <v>82</v>
      </c>
    </row>
    <row r="57" spans="1:9" x14ac:dyDescent="0.85">
      <c r="A57" s="2" t="s">
        <v>324</v>
      </c>
    </row>
    <row r="58" spans="1:9" x14ac:dyDescent="0.85">
      <c r="A58" t="e" cm="1" vm="5">
        <f t="array" ref="A58">_xlfn._xlws.PY(4,1)</f>
        <v>#VALUE!</v>
      </c>
    </row>
    <row r="77" spans="1:1" x14ac:dyDescent="0.85">
      <c r="A77" s="2" t="s">
        <v>325</v>
      </c>
    </row>
    <row r="78" spans="1:1" x14ac:dyDescent="0.85">
      <c r="A78" t="e" cm="1" vm="6">
        <f t="array" ref="A78">_xlfn._xlws.PY(5,1)</f>
        <v>#VALUE!</v>
      </c>
    </row>
    <row r="80" spans="1:1" x14ac:dyDescent="0.85">
      <c r="A80" s="3" t="s">
        <v>320</v>
      </c>
    </row>
    <row r="81" spans="1:8" x14ac:dyDescent="0.85">
      <c r="A81" t="str" cm="1">
        <f t="array" ref="A81:H88">IFERROR(_FV(A78,"arrayPreview"),_xlfn._DF_Python_str(A78))</f>
        <v/>
      </c>
      <c r="B81" t="str">
        <v>mpg</v>
      </c>
      <c r="C81" t="str">
        <v>cylinders</v>
      </c>
      <c r="D81" t="str">
        <v>displacement</v>
      </c>
      <c r="E81" t="str">
        <v>horsepower</v>
      </c>
      <c r="F81" t="str">
        <v>weight</v>
      </c>
      <c r="G81" t="str">
        <v>acceleration</v>
      </c>
      <c r="H81" t="str">
        <v>model_year</v>
      </c>
    </row>
    <row r="82" spans="1:8" x14ac:dyDescent="0.85">
      <c r="A82" t="str">
        <v>mpg</v>
      </c>
      <c r="B82">
        <v>1</v>
      </c>
      <c r="C82">
        <v>-0.77539628542055394</v>
      </c>
      <c r="D82">
        <v>-0.80420282480589789</v>
      </c>
      <c r="E82">
        <v>-0.7734532045742144</v>
      </c>
      <c r="F82">
        <v>-0.8317409332443344</v>
      </c>
      <c r="G82">
        <v>0.42028891210165054</v>
      </c>
      <c r="H82">
        <v>0.57926713308330924</v>
      </c>
    </row>
    <row r="83" spans="1:8" x14ac:dyDescent="0.85">
      <c r="A83" t="str">
        <v>cylinders</v>
      </c>
      <c r="B83">
        <v>-0.77539628542055394</v>
      </c>
      <c r="C83">
        <v>1</v>
      </c>
      <c r="D83">
        <v>0.95072139013924151</v>
      </c>
      <c r="E83">
        <v>0.84128446376210164</v>
      </c>
      <c r="F83">
        <v>0.89601679545339441</v>
      </c>
      <c r="G83">
        <v>-0.50541948905217582</v>
      </c>
      <c r="H83">
        <v>-0.34874579661359445</v>
      </c>
    </row>
    <row r="84" spans="1:8" x14ac:dyDescent="0.85">
      <c r="A84" t="str">
        <v>displacement</v>
      </c>
      <c r="B84">
        <v>-0.80420282480589789</v>
      </c>
      <c r="C84">
        <v>0.95072139013924151</v>
      </c>
      <c r="D84">
        <v>1</v>
      </c>
      <c r="E84">
        <v>0.8957782012539004</v>
      </c>
      <c r="F84">
        <v>0.93282414684163395</v>
      </c>
      <c r="G84">
        <v>-0.54368408350092989</v>
      </c>
      <c r="H84">
        <v>-0.37016416107932471</v>
      </c>
    </row>
    <row r="85" spans="1:8" x14ac:dyDescent="0.85">
      <c r="A85" t="str">
        <v>horsepower</v>
      </c>
      <c r="B85">
        <v>-0.7734532045742144</v>
      </c>
      <c r="C85">
        <v>0.84128446376210164</v>
      </c>
      <c r="D85">
        <v>0.8957782012539004</v>
      </c>
      <c r="E85">
        <v>1</v>
      </c>
      <c r="F85">
        <v>0.86244236099156213</v>
      </c>
      <c r="G85">
        <v>-0.68658973730477091</v>
      </c>
      <c r="H85">
        <v>-0.41373279760678372</v>
      </c>
    </row>
    <row r="86" spans="1:8" x14ac:dyDescent="0.85">
      <c r="A86" t="str">
        <v>weight</v>
      </c>
      <c r="B86">
        <v>-0.8317409332443344</v>
      </c>
      <c r="C86">
        <v>0.89601679545339441</v>
      </c>
      <c r="D86">
        <v>0.93282414684163395</v>
      </c>
      <c r="E86">
        <v>0.86244236099156213</v>
      </c>
      <c r="F86">
        <v>1</v>
      </c>
      <c r="G86">
        <v>-0.4174573199403932</v>
      </c>
      <c r="H86">
        <v>-0.30656433428328922</v>
      </c>
    </row>
    <row r="87" spans="1:8" x14ac:dyDescent="0.85">
      <c r="A87" t="str">
        <v>acceleration</v>
      </c>
      <c r="B87">
        <v>0.42028891210165054</v>
      </c>
      <c r="C87">
        <v>-0.50541948905217582</v>
      </c>
      <c r="D87">
        <v>-0.54368408350092989</v>
      </c>
      <c r="E87">
        <v>-0.68658973730477091</v>
      </c>
      <c r="F87">
        <v>-0.4174573199403932</v>
      </c>
      <c r="G87">
        <v>1</v>
      </c>
      <c r="H87">
        <v>0.28813695429949115</v>
      </c>
    </row>
    <row r="88" spans="1:8" x14ac:dyDescent="0.85">
      <c r="A88" t="str">
        <v>model_year</v>
      </c>
      <c r="B88">
        <v>0.57926713308330924</v>
      </c>
      <c r="C88">
        <v>-0.34874579661359445</v>
      </c>
      <c r="D88">
        <v>-0.37016416107932471</v>
      </c>
      <c r="E88">
        <v>-0.41373279760678372</v>
      </c>
      <c r="F88">
        <v>-0.30656433428328922</v>
      </c>
      <c r="G88">
        <v>0.28813695429949115</v>
      </c>
      <c r="H88">
        <v>1</v>
      </c>
    </row>
    <row r="91" spans="1:8" x14ac:dyDescent="0.85">
      <c r="A91" s="2" t="s">
        <v>326</v>
      </c>
    </row>
    <row r="92" spans="1:8" x14ac:dyDescent="0.85">
      <c r="A92" t="e" cm="1" vm="7">
        <f t="array" ref="A92">_xlfn._xlws.PY(6,1)</f>
        <v>#VALUE!</v>
      </c>
    </row>
    <row r="94" spans="1:8" x14ac:dyDescent="0.85">
      <c r="A94" s="3" t="s">
        <v>320</v>
      </c>
    </row>
    <row r="95" spans="1:8" x14ac:dyDescent="0.85">
      <c r="A95" t="str" cm="1">
        <f t="array" ref="A95:B101">IFERROR(_FV(A92,"arrayPreview"),_xlfn._DF_Python_str(A92))</f>
        <v>horsepower</v>
      </c>
      <c r="B95">
        <v>1.1062242930872614</v>
      </c>
    </row>
    <row r="96" spans="1:8" x14ac:dyDescent="0.85">
      <c r="A96" t="str">
        <v>displacement</v>
      </c>
      <c r="B96">
        <v>0.71964516430059522</v>
      </c>
    </row>
    <row r="97" spans="1:3" x14ac:dyDescent="0.85">
      <c r="A97" t="str">
        <v>weight</v>
      </c>
      <c r="B97">
        <v>0.53106251259946291</v>
      </c>
    </row>
    <row r="98" spans="1:3" x14ac:dyDescent="0.85">
      <c r="A98" t="str">
        <v>cylinders</v>
      </c>
      <c r="B98">
        <v>0.52692154535289404</v>
      </c>
    </row>
    <row r="99" spans="1:3" x14ac:dyDescent="0.85">
      <c r="A99" t="str">
        <v>mpg</v>
      </c>
      <c r="B99">
        <v>0.45706634399491913</v>
      </c>
    </row>
    <row r="100" spans="1:3" x14ac:dyDescent="0.85">
      <c r="A100" t="str">
        <v>acceleration</v>
      </c>
      <c r="B100">
        <v>0.27877684462588986</v>
      </c>
    </row>
    <row r="101" spans="1:3" x14ac:dyDescent="0.85">
      <c r="A101" t="str">
        <v>model_year</v>
      </c>
      <c r="B101">
        <v>1.153459401509278E-2</v>
      </c>
    </row>
    <row r="104" spans="1:3" x14ac:dyDescent="0.85">
      <c r="A104" s="2" t="s">
        <v>328</v>
      </c>
    </row>
    <row r="105" spans="1:3" x14ac:dyDescent="0.85">
      <c r="A105" t="e" cm="1" vm="8">
        <f t="array" ref="A105">_xlfn._xlws.PY(7,1)</f>
        <v>#VALUE!</v>
      </c>
    </row>
    <row r="108" spans="1:3" x14ac:dyDescent="0.85">
      <c r="A108" s="2" t="s">
        <v>327</v>
      </c>
    </row>
    <row r="109" spans="1:3" x14ac:dyDescent="0.85">
      <c r="A109" t="e" cm="1" vm="9">
        <f t="array" ref="A109">_xlfn._xlws.PY(8,1)</f>
        <v>#VALUE!</v>
      </c>
    </row>
    <row r="111" spans="1:3" x14ac:dyDescent="0.85">
      <c r="A111" s="3" t="s">
        <v>320</v>
      </c>
    </row>
    <row r="112" spans="1:3" x14ac:dyDescent="0.85">
      <c r="A112" t="str" cm="1">
        <f t="array" ref="A112:C113">IFERROR(_FV(A109,"arrayPreview"),_xlfn._DF_Python_str(A109))</f>
        <v/>
      </c>
      <c r="B112" t="str">
        <v>R2</v>
      </c>
      <c r="C112" t="str">
        <v>RMSE</v>
      </c>
    </row>
    <row r="113" spans="1:3" x14ac:dyDescent="0.85">
      <c r="A113">
        <v>0</v>
      </c>
      <c r="B113">
        <v>0.84490963327620838</v>
      </c>
      <c r="C113">
        <v>2.8876733677169266</v>
      </c>
    </row>
    <row r="116" spans="1:3" x14ac:dyDescent="0.85">
      <c r="A116" s="2" t="s">
        <v>329</v>
      </c>
    </row>
    <row r="117" spans="1:3" x14ac:dyDescent="0.85">
      <c r="A117" t="e" cm="1" vm="10">
        <f t="array" ref="A117">_xlfn._xlws.PY(9,1)</f>
        <v>#VALUE!</v>
      </c>
    </row>
    <row r="119" spans="1:3" x14ac:dyDescent="0.85">
      <c r="A119" s="3" t="s">
        <v>320</v>
      </c>
    </row>
    <row r="120" spans="1:3" x14ac:dyDescent="0.85">
      <c r="A120" t="str" cm="1">
        <f t="array" ref="A120:C128">IFERROR(_FV(A117,"arrayPreview"),_xlfn._DF_Python_str(A117))</f>
        <v/>
      </c>
      <c r="B120" t="str">
        <v>Feature</v>
      </c>
      <c r="C120" t="str">
        <v>Coefficient</v>
      </c>
    </row>
    <row r="121" spans="1:3" x14ac:dyDescent="0.85">
      <c r="A121">
        <v>5</v>
      </c>
      <c r="B121" t="str">
        <v>model_year</v>
      </c>
      <c r="C121">
        <v>0.82596927182081681</v>
      </c>
    </row>
    <row r="122" spans="1:3" x14ac:dyDescent="0.85">
      <c r="A122">
        <v>4</v>
      </c>
      <c r="B122" t="str">
        <v>acceleration</v>
      </c>
      <c r="C122">
        <v>6.796652178884284E-2</v>
      </c>
    </row>
    <row r="123" spans="1:3" x14ac:dyDescent="0.85">
      <c r="A123">
        <v>1</v>
      </c>
      <c r="B123" t="str">
        <v>displacement</v>
      </c>
      <c r="C123">
        <v>1.9775710196320986E-2</v>
      </c>
    </row>
    <row r="124" spans="1:3" x14ac:dyDescent="0.85">
      <c r="A124">
        <v>3</v>
      </c>
      <c r="B124" t="str">
        <v>weight</v>
      </c>
      <c r="C124">
        <v>-7.0472665080488486E-3</v>
      </c>
    </row>
    <row r="125" spans="1:3" x14ac:dyDescent="0.85">
      <c r="A125">
        <v>2</v>
      </c>
      <c r="B125" t="str">
        <v>horsepower</v>
      </c>
      <c r="C125">
        <v>-1.4561875499476443E-2</v>
      </c>
    </row>
    <row r="126" spans="1:3" x14ac:dyDescent="0.85">
      <c r="A126">
        <v>0</v>
      </c>
      <c r="B126" t="str">
        <v>cylinders</v>
      </c>
      <c r="C126">
        <v>-0.16566377598888227</v>
      </c>
    </row>
    <row r="127" spans="1:3" x14ac:dyDescent="0.85">
      <c r="A127">
        <v>6</v>
      </c>
      <c r="B127" t="str">
        <v>origin_japan</v>
      </c>
      <c r="C127">
        <v>-0.27578067033266257</v>
      </c>
    </row>
    <row r="128" spans="1:3" x14ac:dyDescent="0.85">
      <c r="A128">
        <v>7</v>
      </c>
      <c r="B128" t="str">
        <v>origin_usa</v>
      </c>
      <c r="C128">
        <v>-2.9469066693935693</v>
      </c>
    </row>
  </sheetData>
  <pageMargins left="0.7" right="0.7" top="0.75" bottom="0.75" header="0.3" footer="0.3"/>
  <customProperties>
    <customPr name="isPythonAnalysisSheet" r:id="rId1"/>
    <customPr name="lastPythonCell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468D-E6FC-470D-BCB4-FE7ADA88E170}">
  <dimension ref="A1:G345"/>
  <sheetViews>
    <sheetView tabSelected="1" zoomScale="70" zoomScaleNormal="70" workbookViewId="0">
      <selection activeCell="D3" sqref="D3"/>
    </sheetView>
  </sheetViews>
  <sheetFormatPr defaultRowHeight="34" x14ac:dyDescent="1.1499999999999999"/>
  <cols>
    <col min="1" max="2" width="8.58984375" style="4"/>
    <col min="3" max="3" width="20.18359375" style="4" customWidth="1"/>
    <col min="4" max="4" width="19.62890625" style="4" customWidth="1"/>
    <col min="5" max="5" width="21.6640625" style="4" customWidth="1"/>
    <col min="6" max="6" width="17.77734375" style="4" customWidth="1"/>
    <col min="7" max="16384" width="8.58984375" style="4"/>
  </cols>
  <sheetData>
    <row r="1" spans="1:7" x14ac:dyDescent="1.1499999999999999">
      <c r="A1" s="4" t="s">
        <v>330</v>
      </c>
      <c r="B1" s="4" t="s">
        <v>331</v>
      </c>
      <c r="C1" s="4" t="s">
        <v>332</v>
      </c>
      <c r="D1" s="4" t="s">
        <v>333</v>
      </c>
      <c r="E1" s="4" t="s">
        <v>334</v>
      </c>
      <c r="F1" s="4" t="s">
        <v>335</v>
      </c>
      <c r="G1" s="4" t="s">
        <v>336</v>
      </c>
    </row>
    <row r="2" spans="1:7" x14ac:dyDescent="1.1499999999999999">
      <c r="A2" s="4" t="s">
        <v>337</v>
      </c>
      <c r="B2" s="4" t="s">
        <v>338</v>
      </c>
      <c r="C2" s="4">
        <v>39.1</v>
      </c>
      <c r="D2" s="4">
        <v>18.7</v>
      </c>
      <c r="E2" s="4">
        <v>181</v>
      </c>
      <c r="F2" s="4">
        <v>3750</v>
      </c>
      <c r="G2" s="4" t="s">
        <v>339</v>
      </c>
    </row>
    <row r="3" spans="1:7" x14ac:dyDescent="1.1499999999999999">
      <c r="A3" s="4" t="s">
        <v>337</v>
      </c>
      <c r="B3" s="4" t="s">
        <v>338</v>
      </c>
      <c r="C3" s="4">
        <v>39.5</v>
      </c>
      <c r="D3" s="4">
        <v>17.399999999999999</v>
      </c>
      <c r="E3" s="4">
        <v>186</v>
      </c>
      <c r="F3" s="4">
        <v>3800</v>
      </c>
      <c r="G3" s="4" t="s">
        <v>340</v>
      </c>
    </row>
    <row r="4" spans="1:7" x14ac:dyDescent="1.1499999999999999">
      <c r="A4" s="4" t="s">
        <v>337</v>
      </c>
      <c r="B4" s="4" t="s">
        <v>338</v>
      </c>
      <c r="C4" s="4">
        <v>40.299999999999997</v>
      </c>
      <c r="D4" s="4">
        <v>18</v>
      </c>
      <c r="E4" s="4">
        <v>195</v>
      </c>
      <c r="F4" s="4">
        <v>3250</v>
      </c>
      <c r="G4" s="4" t="s">
        <v>340</v>
      </c>
    </row>
    <row r="5" spans="1:7" x14ac:dyDescent="1.1499999999999999">
      <c r="A5" s="4" t="s">
        <v>337</v>
      </c>
      <c r="B5" s="4" t="s">
        <v>338</v>
      </c>
      <c r="G5" s="4" t="s">
        <v>341</v>
      </c>
    </row>
    <row r="6" spans="1:7" x14ac:dyDescent="1.1499999999999999">
      <c r="A6" s="4" t="s">
        <v>337</v>
      </c>
      <c r="B6" s="4" t="s">
        <v>338</v>
      </c>
      <c r="C6" s="4">
        <v>36.700000000000003</v>
      </c>
      <c r="D6" s="4">
        <v>19.3</v>
      </c>
      <c r="E6" s="4">
        <v>193</v>
      </c>
      <c r="F6" s="4">
        <v>3450</v>
      </c>
      <c r="G6" s="4" t="s">
        <v>340</v>
      </c>
    </row>
    <row r="7" spans="1:7" x14ac:dyDescent="1.1499999999999999">
      <c r="A7" s="4" t="s">
        <v>337</v>
      </c>
      <c r="B7" s="4" t="s">
        <v>338</v>
      </c>
      <c r="C7" s="4">
        <v>39.299999999999997</v>
      </c>
      <c r="D7" s="4">
        <v>20.6</v>
      </c>
      <c r="E7" s="4">
        <v>190</v>
      </c>
      <c r="F7" s="4">
        <v>3650</v>
      </c>
      <c r="G7" s="4" t="s">
        <v>339</v>
      </c>
    </row>
    <row r="8" spans="1:7" x14ac:dyDescent="1.1499999999999999">
      <c r="A8" s="4" t="s">
        <v>337</v>
      </c>
      <c r="B8" s="4" t="s">
        <v>338</v>
      </c>
      <c r="C8" s="4">
        <v>38.9</v>
      </c>
      <c r="D8" s="4">
        <v>17.8</v>
      </c>
      <c r="E8" s="4">
        <v>181</v>
      </c>
      <c r="F8" s="4">
        <v>3625</v>
      </c>
      <c r="G8" s="4" t="s">
        <v>340</v>
      </c>
    </row>
    <row r="9" spans="1:7" x14ac:dyDescent="1.1499999999999999">
      <c r="A9" s="4" t="s">
        <v>337</v>
      </c>
      <c r="B9" s="4" t="s">
        <v>338</v>
      </c>
      <c r="C9" s="4">
        <v>39.200000000000003</v>
      </c>
      <c r="D9" s="4">
        <v>19.600000000000001</v>
      </c>
      <c r="E9" s="4">
        <v>195</v>
      </c>
      <c r="F9" s="4">
        <v>4675</v>
      </c>
      <c r="G9" s="4" t="s">
        <v>339</v>
      </c>
    </row>
    <row r="10" spans="1:7" x14ac:dyDescent="1.1499999999999999">
      <c r="A10" s="4" t="s">
        <v>337</v>
      </c>
      <c r="B10" s="4" t="s">
        <v>338</v>
      </c>
      <c r="C10" s="4">
        <v>34.1</v>
      </c>
      <c r="D10" s="4">
        <v>18.100000000000001</v>
      </c>
      <c r="E10" s="4">
        <v>193</v>
      </c>
      <c r="F10" s="4">
        <v>3475</v>
      </c>
      <c r="G10" s="4" t="s">
        <v>341</v>
      </c>
    </row>
    <row r="11" spans="1:7" x14ac:dyDescent="1.1499999999999999">
      <c r="A11" s="4" t="s">
        <v>337</v>
      </c>
      <c r="B11" s="4" t="s">
        <v>338</v>
      </c>
      <c r="C11" s="4">
        <v>42</v>
      </c>
      <c r="D11" s="4">
        <v>20.2</v>
      </c>
      <c r="E11" s="4">
        <v>190</v>
      </c>
      <c r="F11" s="4">
        <v>4250</v>
      </c>
      <c r="G11" s="4" t="s">
        <v>341</v>
      </c>
    </row>
    <row r="12" spans="1:7" x14ac:dyDescent="1.1499999999999999">
      <c r="A12" s="4" t="s">
        <v>337</v>
      </c>
      <c r="B12" s="4" t="s">
        <v>338</v>
      </c>
      <c r="C12" s="4">
        <v>37.799999999999997</v>
      </c>
      <c r="D12" s="4">
        <v>17.100000000000001</v>
      </c>
      <c r="E12" s="4">
        <v>186</v>
      </c>
      <c r="F12" s="4">
        <v>3300</v>
      </c>
      <c r="G12" s="4" t="s">
        <v>341</v>
      </c>
    </row>
    <row r="13" spans="1:7" x14ac:dyDescent="1.1499999999999999">
      <c r="A13" s="4" t="s">
        <v>337</v>
      </c>
      <c r="B13" s="4" t="s">
        <v>338</v>
      </c>
      <c r="C13" s="4">
        <v>37.799999999999997</v>
      </c>
      <c r="D13" s="4">
        <v>17.3</v>
      </c>
      <c r="E13" s="4">
        <v>180</v>
      </c>
      <c r="F13" s="4">
        <v>3700</v>
      </c>
      <c r="G13" s="4" t="s">
        <v>341</v>
      </c>
    </row>
    <row r="14" spans="1:7" x14ac:dyDescent="1.1499999999999999">
      <c r="A14" s="4" t="s">
        <v>337</v>
      </c>
      <c r="B14" s="4" t="s">
        <v>338</v>
      </c>
      <c r="C14" s="4">
        <v>41.1</v>
      </c>
      <c r="D14" s="4">
        <v>17.600000000000001</v>
      </c>
      <c r="E14" s="4">
        <v>182</v>
      </c>
      <c r="F14" s="4">
        <v>3200</v>
      </c>
      <c r="G14" s="4" t="s">
        <v>340</v>
      </c>
    </row>
    <row r="15" spans="1:7" x14ac:dyDescent="1.1499999999999999">
      <c r="A15" s="4" t="s">
        <v>337</v>
      </c>
      <c r="B15" s="4" t="s">
        <v>338</v>
      </c>
      <c r="C15" s="4">
        <v>38.6</v>
      </c>
      <c r="D15" s="4">
        <v>21.2</v>
      </c>
      <c r="E15" s="4">
        <v>191</v>
      </c>
      <c r="F15" s="4">
        <v>3800</v>
      </c>
      <c r="G15" s="4" t="s">
        <v>339</v>
      </c>
    </row>
    <row r="16" spans="1:7" x14ac:dyDescent="1.1499999999999999">
      <c r="A16" s="4" t="s">
        <v>337</v>
      </c>
      <c r="B16" s="4" t="s">
        <v>338</v>
      </c>
      <c r="C16" s="4">
        <v>34.6</v>
      </c>
      <c r="D16" s="4">
        <v>21.1</v>
      </c>
      <c r="E16" s="4">
        <v>198</v>
      </c>
      <c r="F16" s="4">
        <v>4400</v>
      </c>
      <c r="G16" s="4" t="s">
        <v>339</v>
      </c>
    </row>
    <row r="17" spans="1:7" x14ac:dyDescent="1.1499999999999999">
      <c r="A17" s="4" t="s">
        <v>337</v>
      </c>
      <c r="B17" s="4" t="s">
        <v>338</v>
      </c>
      <c r="C17" s="4">
        <v>36.6</v>
      </c>
      <c r="D17" s="4">
        <v>17.8</v>
      </c>
      <c r="E17" s="4">
        <v>185</v>
      </c>
      <c r="F17" s="4">
        <v>3700</v>
      </c>
      <c r="G17" s="4" t="s">
        <v>340</v>
      </c>
    </row>
    <row r="18" spans="1:7" x14ac:dyDescent="1.1499999999999999">
      <c r="A18" s="4" t="s">
        <v>337</v>
      </c>
      <c r="B18" s="4" t="s">
        <v>338</v>
      </c>
      <c r="C18" s="4">
        <v>38.700000000000003</v>
      </c>
      <c r="D18" s="4">
        <v>19</v>
      </c>
      <c r="E18" s="4">
        <v>195</v>
      </c>
      <c r="F18" s="4">
        <v>3450</v>
      </c>
      <c r="G18" s="4" t="s">
        <v>340</v>
      </c>
    </row>
    <row r="19" spans="1:7" x14ac:dyDescent="1.1499999999999999">
      <c r="A19" s="4" t="s">
        <v>337</v>
      </c>
      <c r="B19" s="4" t="s">
        <v>338</v>
      </c>
      <c r="C19" s="4">
        <v>42.5</v>
      </c>
      <c r="D19" s="4">
        <v>20.7</v>
      </c>
      <c r="E19" s="4">
        <v>197</v>
      </c>
      <c r="F19" s="4">
        <v>4500</v>
      </c>
      <c r="G19" s="4" t="s">
        <v>339</v>
      </c>
    </row>
    <row r="20" spans="1:7" x14ac:dyDescent="1.1499999999999999">
      <c r="A20" s="4" t="s">
        <v>337</v>
      </c>
      <c r="B20" s="4" t="s">
        <v>338</v>
      </c>
      <c r="C20" s="4">
        <v>34.4</v>
      </c>
      <c r="D20" s="4">
        <v>18.399999999999999</v>
      </c>
      <c r="E20" s="4">
        <v>184</v>
      </c>
      <c r="F20" s="4">
        <v>3325</v>
      </c>
      <c r="G20" s="4" t="s">
        <v>340</v>
      </c>
    </row>
    <row r="21" spans="1:7" x14ac:dyDescent="1.1499999999999999">
      <c r="A21" s="4" t="s">
        <v>337</v>
      </c>
      <c r="B21" s="4" t="s">
        <v>338</v>
      </c>
      <c r="C21" s="4">
        <v>46</v>
      </c>
      <c r="D21" s="4">
        <v>21.5</v>
      </c>
      <c r="E21" s="4">
        <v>194</v>
      </c>
      <c r="F21" s="4">
        <v>4200</v>
      </c>
      <c r="G21" s="4" t="s">
        <v>339</v>
      </c>
    </row>
    <row r="22" spans="1:7" x14ac:dyDescent="1.1499999999999999">
      <c r="A22" s="4" t="s">
        <v>337</v>
      </c>
      <c r="B22" s="4" t="s">
        <v>342</v>
      </c>
      <c r="C22" s="4">
        <v>37.799999999999997</v>
      </c>
      <c r="D22" s="4">
        <v>18.3</v>
      </c>
      <c r="E22" s="4">
        <v>174</v>
      </c>
      <c r="F22" s="4">
        <v>3400</v>
      </c>
      <c r="G22" s="4" t="s">
        <v>340</v>
      </c>
    </row>
    <row r="23" spans="1:7" x14ac:dyDescent="1.1499999999999999">
      <c r="A23" s="4" t="s">
        <v>337</v>
      </c>
      <c r="B23" s="4" t="s">
        <v>342</v>
      </c>
      <c r="C23" s="4">
        <v>37.700000000000003</v>
      </c>
      <c r="D23" s="4">
        <v>18.7</v>
      </c>
      <c r="E23" s="4">
        <v>180</v>
      </c>
      <c r="F23" s="4">
        <v>3600</v>
      </c>
      <c r="G23" s="4" t="s">
        <v>339</v>
      </c>
    </row>
    <row r="24" spans="1:7" x14ac:dyDescent="1.1499999999999999">
      <c r="A24" s="4" t="s">
        <v>337</v>
      </c>
      <c r="B24" s="4" t="s">
        <v>342</v>
      </c>
      <c r="C24" s="4">
        <v>35.9</v>
      </c>
      <c r="D24" s="4">
        <v>19.2</v>
      </c>
      <c r="E24" s="4">
        <v>189</v>
      </c>
      <c r="F24" s="4">
        <v>3800</v>
      </c>
      <c r="G24" s="4" t="s">
        <v>340</v>
      </c>
    </row>
    <row r="25" spans="1:7" x14ac:dyDescent="1.1499999999999999">
      <c r="A25" s="4" t="s">
        <v>337</v>
      </c>
      <c r="B25" s="4" t="s">
        <v>342</v>
      </c>
      <c r="C25" s="4">
        <v>38.200000000000003</v>
      </c>
      <c r="D25" s="4">
        <v>18.100000000000001</v>
      </c>
      <c r="E25" s="4">
        <v>185</v>
      </c>
      <c r="F25" s="4">
        <v>3950</v>
      </c>
      <c r="G25" s="4" t="s">
        <v>339</v>
      </c>
    </row>
    <row r="26" spans="1:7" x14ac:dyDescent="1.1499999999999999">
      <c r="A26" s="4" t="s">
        <v>337</v>
      </c>
      <c r="B26" s="4" t="s">
        <v>342</v>
      </c>
      <c r="C26" s="4">
        <v>38.799999999999997</v>
      </c>
      <c r="D26" s="4">
        <v>17.2</v>
      </c>
      <c r="E26" s="4">
        <v>180</v>
      </c>
      <c r="F26" s="4">
        <v>3800</v>
      </c>
      <c r="G26" s="4" t="s">
        <v>339</v>
      </c>
    </row>
    <row r="27" spans="1:7" x14ac:dyDescent="1.1499999999999999">
      <c r="A27" s="4" t="s">
        <v>337</v>
      </c>
      <c r="B27" s="4" t="s">
        <v>342</v>
      </c>
      <c r="C27" s="4">
        <v>35.299999999999997</v>
      </c>
      <c r="D27" s="4">
        <v>18.899999999999999</v>
      </c>
      <c r="E27" s="4">
        <v>187</v>
      </c>
      <c r="F27" s="4">
        <v>3800</v>
      </c>
      <c r="G27" s="4" t="s">
        <v>340</v>
      </c>
    </row>
    <row r="28" spans="1:7" x14ac:dyDescent="1.1499999999999999">
      <c r="A28" s="4" t="s">
        <v>337</v>
      </c>
      <c r="B28" s="4" t="s">
        <v>342</v>
      </c>
      <c r="C28" s="4">
        <v>40.6</v>
      </c>
      <c r="D28" s="4">
        <v>18.600000000000001</v>
      </c>
      <c r="E28" s="4">
        <v>183</v>
      </c>
      <c r="F28" s="4">
        <v>3550</v>
      </c>
      <c r="G28" s="4" t="s">
        <v>339</v>
      </c>
    </row>
    <row r="29" spans="1:7" x14ac:dyDescent="1.1499999999999999">
      <c r="A29" s="4" t="s">
        <v>337</v>
      </c>
      <c r="B29" s="4" t="s">
        <v>342</v>
      </c>
      <c r="C29" s="4">
        <v>40.5</v>
      </c>
      <c r="D29" s="4">
        <v>17.899999999999999</v>
      </c>
      <c r="E29" s="4">
        <v>187</v>
      </c>
      <c r="F29" s="4">
        <v>3200</v>
      </c>
      <c r="G29" s="4" t="s">
        <v>340</v>
      </c>
    </row>
    <row r="30" spans="1:7" x14ac:dyDescent="1.1499999999999999">
      <c r="A30" s="4" t="s">
        <v>337</v>
      </c>
      <c r="B30" s="4" t="s">
        <v>342</v>
      </c>
      <c r="C30" s="4">
        <v>37.9</v>
      </c>
      <c r="D30" s="4">
        <v>18.600000000000001</v>
      </c>
      <c r="E30" s="4">
        <v>172</v>
      </c>
      <c r="F30" s="4">
        <v>3150</v>
      </c>
      <c r="G30" s="4" t="s">
        <v>340</v>
      </c>
    </row>
    <row r="31" spans="1:7" x14ac:dyDescent="1.1499999999999999">
      <c r="A31" s="4" t="s">
        <v>337</v>
      </c>
      <c r="B31" s="4" t="s">
        <v>342</v>
      </c>
      <c r="C31" s="4">
        <v>40.5</v>
      </c>
      <c r="D31" s="4">
        <v>18.899999999999999</v>
      </c>
      <c r="E31" s="4">
        <v>180</v>
      </c>
      <c r="F31" s="4">
        <v>3950</v>
      </c>
      <c r="G31" s="4" t="s">
        <v>339</v>
      </c>
    </row>
    <row r="32" spans="1:7" x14ac:dyDescent="1.1499999999999999">
      <c r="A32" s="4" t="s">
        <v>337</v>
      </c>
      <c r="B32" s="4" t="s">
        <v>343</v>
      </c>
      <c r="C32" s="4">
        <v>39.5</v>
      </c>
      <c r="D32" s="4">
        <v>16.7</v>
      </c>
      <c r="E32" s="4">
        <v>178</v>
      </c>
      <c r="F32" s="4">
        <v>3250</v>
      </c>
      <c r="G32" s="4" t="s">
        <v>340</v>
      </c>
    </row>
    <row r="33" spans="1:7" x14ac:dyDescent="1.1499999999999999">
      <c r="A33" s="4" t="s">
        <v>337</v>
      </c>
      <c r="B33" s="4" t="s">
        <v>343</v>
      </c>
      <c r="C33" s="4">
        <v>37.200000000000003</v>
      </c>
      <c r="D33" s="4">
        <v>18.100000000000001</v>
      </c>
      <c r="E33" s="4">
        <v>178</v>
      </c>
      <c r="F33" s="4">
        <v>3900</v>
      </c>
      <c r="G33" s="4" t="s">
        <v>339</v>
      </c>
    </row>
    <row r="34" spans="1:7" x14ac:dyDescent="1.1499999999999999">
      <c r="A34" s="4" t="s">
        <v>337</v>
      </c>
      <c r="B34" s="4" t="s">
        <v>343</v>
      </c>
      <c r="C34" s="4">
        <v>39.5</v>
      </c>
      <c r="D34" s="4">
        <v>17.8</v>
      </c>
      <c r="E34" s="4">
        <v>188</v>
      </c>
      <c r="F34" s="4">
        <v>3300</v>
      </c>
      <c r="G34" s="4" t="s">
        <v>340</v>
      </c>
    </row>
    <row r="35" spans="1:7" x14ac:dyDescent="1.1499999999999999">
      <c r="A35" s="4" t="s">
        <v>337</v>
      </c>
      <c r="B35" s="4" t="s">
        <v>343</v>
      </c>
      <c r="C35" s="4">
        <v>40.9</v>
      </c>
      <c r="D35" s="4">
        <v>18.899999999999999</v>
      </c>
      <c r="E35" s="4">
        <v>184</v>
      </c>
      <c r="F35" s="4">
        <v>3900</v>
      </c>
      <c r="G35" s="4" t="s">
        <v>339</v>
      </c>
    </row>
    <row r="36" spans="1:7" x14ac:dyDescent="1.1499999999999999">
      <c r="A36" s="4" t="s">
        <v>337</v>
      </c>
      <c r="B36" s="4" t="s">
        <v>343</v>
      </c>
      <c r="C36" s="4">
        <v>36.4</v>
      </c>
      <c r="D36" s="4">
        <v>17</v>
      </c>
      <c r="E36" s="4">
        <v>195</v>
      </c>
      <c r="F36" s="4">
        <v>3325</v>
      </c>
      <c r="G36" s="4" t="s">
        <v>340</v>
      </c>
    </row>
    <row r="37" spans="1:7" x14ac:dyDescent="1.1499999999999999">
      <c r="A37" s="4" t="s">
        <v>337</v>
      </c>
      <c r="B37" s="4" t="s">
        <v>343</v>
      </c>
      <c r="C37" s="4">
        <v>39.200000000000003</v>
      </c>
      <c r="D37" s="4">
        <v>21.1</v>
      </c>
      <c r="E37" s="4">
        <v>196</v>
      </c>
      <c r="F37" s="4">
        <v>4150</v>
      </c>
      <c r="G37" s="4" t="s">
        <v>339</v>
      </c>
    </row>
    <row r="38" spans="1:7" x14ac:dyDescent="1.1499999999999999">
      <c r="A38" s="4" t="s">
        <v>337</v>
      </c>
      <c r="B38" s="4" t="s">
        <v>343</v>
      </c>
      <c r="C38" s="4">
        <v>38.799999999999997</v>
      </c>
      <c r="D38" s="4">
        <v>20</v>
      </c>
      <c r="E38" s="4">
        <v>190</v>
      </c>
      <c r="F38" s="4">
        <v>3950</v>
      </c>
      <c r="G38" s="4" t="s">
        <v>339</v>
      </c>
    </row>
    <row r="39" spans="1:7" x14ac:dyDescent="1.1499999999999999">
      <c r="A39" s="4" t="s">
        <v>337</v>
      </c>
      <c r="B39" s="4" t="s">
        <v>343</v>
      </c>
      <c r="C39" s="4">
        <v>42.2</v>
      </c>
      <c r="D39" s="4">
        <v>18.5</v>
      </c>
      <c r="E39" s="4">
        <v>180</v>
      </c>
      <c r="F39" s="4">
        <v>3550</v>
      </c>
      <c r="G39" s="4" t="s">
        <v>340</v>
      </c>
    </row>
    <row r="40" spans="1:7" x14ac:dyDescent="1.1499999999999999">
      <c r="A40" s="4" t="s">
        <v>337</v>
      </c>
      <c r="B40" s="4" t="s">
        <v>343</v>
      </c>
      <c r="C40" s="4">
        <v>37.6</v>
      </c>
      <c r="D40" s="4">
        <v>19.3</v>
      </c>
      <c r="E40" s="4">
        <v>181</v>
      </c>
      <c r="F40" s="4">
        <v>3300</v>
      </c>
      <c r="G40" s="4" t="s">
        <v>340</v>
      </c>
    </row>
    <row r="41" spans="1:7" x14ac:dyDescent="1.1499999999999999">
      <c r="A41" s="4" t="s">
        <v>337</v>
      </c>
      <c r="B41" s="4" t="s">
        <v>343</v>
      </c>
      <c r="C41" s="4">
        <v>39.799999999999997</v>
      </c>
      <c r="D41" s="4">
        <v>19.100000000000001</v>
      </c>
      <c r="E41" s="4">
        <v>184</v>
      </c>
      <c r="F41" s="4">
        <v>4650</v>
      </c>
      <c r="G41" s="4" t="s">
        <v>339</v>
      </c>
    </row>
    <row r="42" spans="1:7" x14ac:dyDescent="1.1499999999999999">
      <c r="A42" s="4" t="s">
        <v>337</v>
      </c>
      <c r="B42" s="4" t="s">
        <v>343</v>
      </c>
      <c r="C42" s="4">
        <v>36.5</v>
      </c>
      <c r="D42" s="4">
        <v>18</v>
      </c>
      <c r="E42" s="4">
        <v>182</v>
      </c>
      <c r="F42" s="4">
        <v>3150</v>
      </c>
      <c r="G42" s="4" t="s">
        <v>340</v>
      </c>
    </row>
    <row r="43" spans="1:7" x14ac:dyDescent="1.1499999999999999">
      <c r="A43" s="4" t="s">
        <v>337</v>
      </c>
      <c r="B43" s="4" t="s">
        <v>343</v>
      </c>
      <c r="C43" s="4">
        <v>40.799999999999997</v>
      </c>
      <c r="D43" s="4">
        <v>18.399999999999999</v>
      </c>
      <c r="E43" s="4">
        <v>195</v>
      </c>
      <c r="F43" s="4">
        <v>3900</v>
      </c>
      <c r="G43" s="4" t="s">
        <v>339</v>
      </c>
    </row>
    <row r="44" spans="1:7" x14ac:dyDescent="1.1499999999999999">
      <c r="A44" s="4" t="s">
        <v>337</v>
      </c>
      <c r="B44" s="4" t="s">
        <v>343</v>
      </c>
      <c r="C44" s="4">
        <v>36</v>
      </c>
      <c r="D44" s="4">
        <v>18.5</v>
      </c>
      <c r="E44" s="4">
        <v>186</v>
      </c>
      <c r="F44" s="4">
        <v>3100</v>
      </c>
      <c r="G44" s="4" t="s">
        <v>340</v>
      </c>
    </row>
    <row r="45" spans="1:7" x14ac:dyDescent="1.1499999999999999">
      <c r="A45" s="4" t="s">
        <v>337</v>
      </c>
      <c r="B45" s="4" t="s">
        <v>343</v>
      </c>
      <c r="C45" s="4">
        <v>44.1</v>
      </c>
      <c r="D45" s="4">
        <v>19.7</v>
      </c>
      <c r="E45" s="4">
        <v>196</v>
      </c>
      <c r="F45" s="4">
        <v>4400</v>
      </c>
      <c r="G45" s="4" t="s">
        <v>339</v>
      </c>
    </row>
    <row r="46" spans="1:7" x14ac:dyDescent="1.1499999999999999">
      <c r="A46" s="4" t="s">
        <v>337</v>
      </c>
      <c r="B46" s="4" t="s">
        <v>343</v>
      </c>
      <c r="C46" s="4">
        <v>37</v>
      </c>
      <c r="D46" s="4">
        <v>16.899999999999999</v>
      </c>
      <c r="E46" s="4">
        <v>185</v>
      </c>
      <c r="F46" s="4">
        <v>3000</v>
      </c>
      <c r="G46" s="4" t="s">
        <v>340</v>
      </c>
    </row>
    <row r="47" spans="1:7" x14ac:dyDescent="1.1499999999999999">
      <c r="A47" s="4" t="s">
        <v>337</v>
      </c>
      <c r="B47" s="4" t="s">
        <v>343</v>
      </c>
      <c r="C47" s="4">
        <v>39.6</v>
      </c>
      <c r="D47" s="4">
        <v>18.8</v>
      </c>
      <c r="E47" s="4">
        <v>190</v>
      </c>
      <c r="F47" s="4">
        <v>4600</v>
      </c>
      <c r="G47" s="4" t="s">
        <v>339</v>
      </c>
    </row>
    <row r="48" spans="1:7" x14ac:dyDescent="1.1499999999999999">
      <c r="A48" s="4" t="s">
        <v>337</v>
      </c>
      <c r="B48" s="4" t="s">
        <v>343</v>
      </c>
      <c r="C48" s="4">
        <v>41.1</v>
      </c>
      <c r="D48" s="4">
        <v>19</v>
      </c>
      <c r="E48" s="4">
        <v>182</v>
      </c>
      <c r="F48" s="4">
        <v>3425</v>
      </c>
      <c r="G48" s="4" t="s">
        <v>339</v>
      </c>
    </row>
    <row r="49" spans="1:7" x14ac:dyDescent="1.1499999999999999">
      <c r="A49" s="4" t="s">
        <v>337</v>
      </c>
      <c r="B49" s="4" t="s">
        <v>343</v>
      </c>
      <c r="C49" s="4">
        <v>37.5</v>
      </c>
      <c r="D49" s="4">
        <v>18.899999999999999</v>
      </c>
      <c r="E49" s="4">
        <v>179</v>
      </c>
      <c r="F49" s="4">
        <v>2975</v>
      </c>
      <c r="G49" s="4" t="s">
        <v>341</v>
      </c>
    </row>
    <row r="50" spans="1:7" x14ac:dyDescent="1.1499999999999999">
      <c r="A50" s="4" t="s">
        <v>337</v>
      </c>
      <c r="B50" s="4" t="s">
        <v>343</v>
      </c>
      <c r="C50" s="4">
        <v>36</v>
      </c>
      <c r="D50" s="4">
        <v>17.899999999999999</v>
      </c>
      <c r="E50" s="4">
        <v>190</v>
      </c>
      <c r="F50" s="4">
        <v>3450</v>
      </c>
      <c r="G50" s="4" t="s">
        <v>340</v>
      </c>
    </row>
    <row r="51" spans="1:7" x14ac:dyDescent="1.1499999999999999">
      <c r="A51" s="4" t="s">
        <v>337</v>
      </c>
      <c r="B51" s="4" t="s">
        <v>343</v>
      </c>
      <c r="C51" s="4">
        <v>42.3</v>
      </c>
      <c r="D51" s="4">
        <v>21.2</v>
      </c>
      <c r="E51" s="4">
        <v>191</v>
      </c>
      <c r="F51" s="4">
        <v>4150</v>
      </c>
      <c r="G51" s="4" t="s">
        <v>339</v>
      </c>
    </row>
    <row r="52" spans="1:7" x14ac:dyDescent="1.1499999999999999">
      <c r="A52" s="4" t="s">
        <v>337</v>
      </c>
      <c r="B52" s="4" t="s">
        <v>342</v>
      </c>
      <c r="C52" s="4">
        <v>39.6</v>
      </c>
      <c r="D52" s="4">
        <v>17.7</v>
      </c>
      <c r="E52" s="4">
        <v>186</v>
      </c>
      <c r="F52" s="4">
        <v>3500</v>
      </c>
      <c r="G52" s="4" t="s">
        <v>340</v>
      </c>
    </row>
    <row r="53" spans="1:7" x14ac:dyDescent="1.1499999999999999">
      <c r="A53" s="4" t="s">
        <v>337</v>
      </c>
      <c r="B53" s="4" t="s">
        <v>342</v>
      </c>
      <c r="C53" s="4">
        <v>40.1</v>
      </c>
      <c r="D53" s="4">
        <v>18.899999999999999</v>
      </c>
      <c r="E53" s="4">
        <v>188</v>
      </c>
      <c r="F53" s="4">
        <v>4300</v>
      </c>
      <c r="G53" s="4" t="s">
        <v>339</v>
      </c>
    </row>
    <row r="54" spans="1:7" x14ac:dyDescent="1.1499999999999999">
      <c r="A54" s="4" t="s">
        <v>337</v>
      </c>
      <c r="B54" s="4" t="s">
        <v>342</v>
      </c>
      <c r="C54" s="4">
        <v>35</v>
      </c>
      <c r="D54" s="4">
        <v>17.899999999999999</v>
      </c>
      <c r="E54" s="4">
        <v>190</v>
      </c>
      <c r="F54" s="4">
        <v>3450</v>
      </c>
      <c r="G54" s="4" t="s">
        <v>340</v>
      </c>
    </row>
    <row r="55" spans="1:7" x14ac:dyDescent="1.1499999999999999">
      <c r="A55" s="4" t="s">
        <v>337</v>
      </c>
      <c r="B55" s="4" t="s">
        <v>342</v>
      </c>
      <c r="C55" s="4">
        <v>42</v>
      </c>
      <c r="D55" s="4">
        <v>19.5</v>
      </c>
      <c r="E55" s="4">
        <v>200</v>
      </c>
      <c r="F55" s="4">
        <v>4050</v>
      </c>
      <c r="G55" s="4" t="s">
        <v>339</v>
      </c>
    </row>
    <row r="56" spans="1:7" x14ac:dyDescent="1.1499999999999999">
      <c r="A56" s="4" t="s">
        <v>337</v>
      </c>
      <c r="B56" s="4" t="s">
        <v>342</v>
      </c>
      <c r="C56" s="4">
        <v>34.5</v>
      </c>
      <c r="D56" s="4">
        <v>18.100000000000001</v>
      </c>
      <c r="E56" s="4">
        <v>187</v>
      </c>
      <c r="F56" s="4">
        <v>2900</v>
      </c>
      <c r="G56" s="4" t="s">
        <v>340</v>
      </c>
    </row>
    <row r="57" spans="1:7" x14ac:dyDescent="1.1499999999999999">
      <c r="A57" s="4" t="s">
        <v>337</v>
      </c>
      <c r="B57" s="4" t="s">
        <v>342</v>
      </c>
      <c r="C57" s="4">
        <v>41.4</v>
      </c>
      <c r="D57" s="4">
        <v>18.600000000000001</v>
      </c>
      <c r="E57" s="4">
        <v>191</v>
      </c>
      <c r="F57" s="4">
        <v>3700</v>
      </c>
      <c r="G57" s="4" t="s">
        <v>339</v>
      </c>
    </row>
    <row r="58" spans="1:7" x14ac:dyDescent="1.1499999999999999">
      <c r="A58" s="4" t="s">
        <v>337</v>
      </c>
      <c r="B58" s="4" t="s">
        <v>342</v>
      </c>
      <c r="C58" s="4">
        <v>39</v>
      </c>
      <c r="D58" s="4">
        <v>17.5</v>
      </c>
      <c r="E58" s="4">
        <v>186</v>
      </c>
      <c r="F58" s="4">
        <v>3550</v>
      </c>
      <c r="G58" s="4" t="s">
        <v>340</v>
      </c>
    </row>
    <row r="59" spans="1:7" x14ac:dyDescent="1.1499999999999999">
      <c r="A59" s="4" t="s">
        <v>337</v>
      </c>
      <c r="B59" s="4" t="s">
        <v>342</v>
      </c>
      <c r="C59" s="4">
        <v>40.6</v>
      </c>
      <c r="D59" s="4">
        <v>18.8</v>
      </c>
      <c r="E59" s="4">
        <v>193</v>
      </c>
      <c r="F59" s="4">
        <v>3800</v>
      </c>
      <c r="G59" s="4" t="s">
        <v>339</v>
      </c>
    </row>
    <row r="60" spans="1:7" x14ac:dyDescent="1.1499999999999999">
      <c r="A60" s="4" t="s">
        <v>337</v>
      </c>
      <c r="B60" s="4" t="s">
        <v>342</v>
      </c>
      <c r="C60" s="4">
        <v>36.5</v>
      </c>
      <c r="D60" s="4">
        <v>16.600000000000001</v>
      </c>
      <c r="E60" s="4">
        <v>181</v>
      </c>
      <c r="F60" s="4">
        <v>2850</v>
      </c>
      <c r="G60" s="4" t="s">
        <v>340</v>
      </c>
    </row>
    <row r="61" spans="1:7" x14ac:dyDescent="1.1499999999999999">
      <c r="A61" s="4" t="s">
        <v>337</v>
      </c>
      <c r="B61" s="4" t="s">
        <v>342</v>
      </c>
      <c r="C61" s="4">
        <v>37.6</v>
      </c>
      <c r="D61" s="4">
        <v>19.100000000000001</v>
      </c>
      <c r="E61" s="4">
        <v>194</v>
      </c>
      <c r="F61" s="4">
        <v>3750</v>
      </c>
      <c r="G61" s="4" t="s">
        <v>339</v>
      </c>
    </row>
    <row r="62" spans="1:7" x14ac:dyDescent="1.1499999999999999">
      <c r="A62" s="4" t="s">
        <v>337</v>
      </c>
      <c r="B62" s="4" t="s">
        <v>342</v>
      </c>
      <c r="C62" s="4">
        <v>35.700000000000003</v>
      </c>
      <c r="D62" s="4">
        <v>16.899999999999999</v>
      </c>
      <c r="E62" s="4">
        <v>185</v>
      </c>
      <c r="F62" s="4">
        <v>3150</v>
      </c>
      <c r="G62" s="4" t="s">
        <v>340</v>
      </c>
    </row>
    <row r="63" spans="1:7" x14ac:dyDescent="1.1499999999999999">
      <c r="A63" s="4" t="s">
        <v>337</v>
      </c>
      <c r="B63" s="4" t="s">
        <v>342</v>
      </c>
      <c r="C63" s="4">
        <v>41.3</v>
      </c>
      <c r="D63" s="4">
        <v>21.1</v>
      </c>
      <c r="E63" s="4">
        <v>195</v>
      </c>
      <c r="F63" s="4">
        <v>4400</v>
      </c>
      <c r="G63" s="4" t="s">
        <v>339</v>
      </c>
    </row>
    <row r="64" spans="1:7" x14ac:dyDescent="1.1499999999999999">
      <c r="A64" s="4" t="s">
        <v>337</v>
      </c>
      <c r="B64" s="4" t="s">
        <v>342</v>
      </c>
      <c r="C64" s="4">
        <v>37.6</v>
      </c>
      <c r="D64" s="4">
        <v>17</v>
      </c>
      <c r="E64" s="4">
        <v>185</v>
      </c>
      <c r="F64" s="4">
        <v>3600</v>
      </c>
      <c r="G64" s="4" t="s">
        <v>340</v>
      </c>
    </row>
    <row r="65" spans="1:7" x14ac:dyDescent="1.1499999999999999">
      <c r="A65" s="4" t="s">
        <v>337</v>
      </c>
      <c r="B65" s="4" t="s">
        <v>342</v>
      </c>
      <c r="C65" s="4">
        <v>41.1</v>
      </c>
      <c r="D65" s="4">
        <v>18.2</v>
      </c>
      <c r="E65" s="4">
        <v>192</v>
      </c>
      <c r="F65" s="4">
        <v>4050</v>
      </c>
      <c r="G65" s="4" t="s">
        <v>339</v>
      </c>
    </row>
    <row r="66" spans="1:7" x14ac:dyDescent="1.1499999999999999">
      <c r="A66" s="4" t="s">
        <v>337</v>
      </c>
      <c r="B66" s="4" t="s">
        <v>342</v>
      </c>
      <c r="C66" s="4">
        <v>36.4</v>
      </c>
      <c r="D66" s="4">
        <v>17.100000000000001</v>
      </c>
      <c r="E66" s="4">
        <v>184</v>
      </c>
      <c r="F66" s="4">
        <v>2850</v>
      </c>
      <c r="G66" s="4" t="s">
        <v>340</v>
      </c>
    </row>
    <row r="67" spans="1:7" x14ac:dyDescent="1.1499999999999999">
      <c r="A67" s="4" t="s">
        <v>337</v>
      </c>
      <c r="B67" s="4" t="s">
        <v>342</v>
      </c>
      <c r="C67" s="4">
        <v>41.6</v>
      </c>
      <c r="D67" s="4">
        <v>18</v>
      </c>
      <c r="E67" s="4">
        <v>192</v>
      </c>
      <c r="F67" s="4">
        <v>3950</v>
      </c>
      <c r="G67" s="4" t="s">
        <v>339</v>
      </c>
    </row>
    <row r="68" spans="1:7" x14ac:dyDescent="1.1499999999999999">
      <c r="A68" s="4" t="s">
        <v>337</v>
      </c>
      <c r="B68" s="4" t="s">
        <v>342</v>
      </c>
      <c r="C68" s="4">
        <v>35.5</v>
      </c>
      <c r="D68" s="4">
        <v>16.2</v>
      </c>
      <c r="E68" s="4">
        <v>195</v>
      </c>
      <c r="F68" s="4">
        <v>3350</v>
      </c>
      <c r="G68" s="4" t="s">
        <v>340</v>
      </c>
    </row>
    <row r="69" spans="1:7" x14ac:dyDescent="1.1499999999999999">
      <c r="A69" s="4" t="s">
        <v>337</v>
      </c>
      <c r="B69" s="4" t="s">
        <v>342</v>
      </c>
      <c r="C69" s="4">
        <v>41.1</v>
      </c>
      <c r="D69" s="4">
        <v>19.100000000000001</v>
      </c>
      <c r="E69" s="4">
        <v>188</v>
      </c>
      <c r="F69" s="4">
        <v>4100</v>
      </c>
      <c r="G69" s="4" t="s">
        <v>339</v>
      </c>
    </row>
    <row r="70" spans="1:7" x14ac:dyDescent="1.1499999999999999">
      <c r="A70" s="4" t="s">
        <v>337</v>
      </c>
      <c r="B70" s="4" t="s">
        <v>338</v>
      </c>
      <c r="C70" s="4">
        <v>35.9</v>
      </c>
      <c r="D70" s="4">
        <v>16.600000000000001</v>
      </c>
      <c r="E70" s="4">
        <v>190</v>
      </c>
      <c r="F70" s="4">
        <v>3050</v>
      </c>
      <c r="G70" s="4" t="s">
        <v>340</v>
      </c>
    </row>
    <row r="71" spans="1:7" x14ac:dyDescent="1.1499999999999999">
      <c r="A71" s="4" t="s">
        <v>337</v>
      </c>
      <c r="B71" s="4" t="s">
        <v>338</v>
      </c>
      <c r="C71" s="4">
        <v>41.8</v>
      </c>
      <c r="D71" s="4">
        <v>19.399999999999999</v>
      </c>
      <c r="E71" s="4">
        <v>198</v>
      </c>
      <c r="F71" s="4">
        <v>4450</v>
      </c>
      <c r="G71" s="4" t="s">
        <v>339</v>
      </c>
    </row>
    <row r="72" spans="1:7" x14ac:dyDescent="1.1499999999999999">
      <c r="A72" s="4" t="s">
        <v>337</v>
      </c>
      <c r="B72" s="4" t="s">
        <v>338</v>
      </c>
      <c r="C72" s="4">
        <v>33.5</v>
      </c>
      <c r="D72" s="4">
        <v>19</v>
      </c>
      <c r="E72" s="4">
        <v>190</v>
      </c>
      <c r="F72" s="4">
        <v>3600</v>
      </c>
      <c r="G72" s="4" t="s">
        <v>340</v>
      </c>
    </row>
    <row r="73" spans="1:7" x14ac:dyDescent="1.1499999999999999">
      <c r="A73" s="4" t="s">
        <v>337</v>
      </c>
      <c r="B73" s="4" t="s">
        <v>338</v>
      </c>
      <c r="C73" s="4">
        <v>39.700000000000003</v>
      </c>
      <c r="D73" s="4">
        <v>18.399999999999999</v>
      </c>
      <c r="E73" s="4">
        <v>190</v>
      </c>
      <c r="F73" s="4">
        <v>3900</v>
      </c>
      <c r="G73" s="4" t="s">
        <v>339</v>
      </c>
    </row>
    <row r="74" spans="1:7" x14ac:dyDescent="1.1499999999999999">
      <c r="A74" s="4" t="s">
        <v>337</v>
      </c>
      <c r="B74" s="4" t="s">
        <v>338</v>
      </c>
      <c r="C74" s="4">
        <v>39.6</v>
      </c>
      <c r="D74" s="4">
        <v>17.2</v>
      </c>
      <c r="E74" s="4">
        <v>196</v>
      </c>
      <c r="F74" s="4">
        <v>3550</v>
      </c>
      <c r="G74" s="4" t="s">
        <v>340</v>
      </c>
    </row>
    <row r="75" spans="1:7" x14ac:dyDescent="1.1499999999999999">
      <c r="A75" s="4" t="s">
        <v>337</v>
      </c>
      <c r="B75" s="4" t="s">
        <v>338</v>
      </c>
      <c r="C75" s="4">
        <v>45.8</v>
      </c>
      <c r="D75" s="4">
        <v>18.899999999999999</v>
      </c>
      <c r="E75" s="4">
        <v>197</v>
      </c>
      <c r="F75" s="4">
        <v>4150</v>
      </c>
      <c r="G75" s="4" t="s">
        <v>339</v>
      </c>
    </row>
    <row r="76" spans="1:7" x14ac:dyDescent="1.1499999999999999">
      <c r="A76" s="4" t="s">
        <v>337</v>
      </c>
      <c r="B76" s="4" t="s">
        <v>338</v>
      </c>
      <c r="C76" s="4">
        <v>35.5</v>
      </c>
      <c r="D76" s="4">
        <v>17.5</v>
      </c>
      <c r="E76" s="4">
        <v>190</v>
      </c>
      <c r="F76" s="4">
        <v>3700</v>
      </c>
      <c r="G76" s="4" t="s">
        <v>340</v>
      </c>
    </row>
    <row r="77" spans="1:7" x14ac:dyDescent="1.1499999999999999">
      <c r="A77" s="4" t="s">
        <v>337</v>
      </c>
      <c r="B77" s="4" t="s">
        <v>338</v>
      </c>
      <c r="C77" s="4">
        <v>42.8</v>
      </c>
      <c r="D77" s="4">
        <v>18.5</v>
      </c>
      <c r="E77" s="4">
        <v>195</v>
      </c>
      <c r="F77" s="4">
        <v>4250</v>
      </c>
      <c r="G77" s="4" t="s">
        <v>339</v>
      </c>
    </row>
    <row r="78" spans="1:7" x14ac:dyDescent="1.1499999999999999">
      <c r="A78" s="4" t="s">
        <v>337</v>
      </c>
      <c r="B78" s="4" t="s">
        <v>338</v>
      </c>
      <c r="C78" s="4">
        <v>40.9</v>
      </c>
      <c r="D78" s="4">
        <v>16.8</v>
      </c>
      <c r="E78" s="4">
        <v>191</v>
      </c>
      <c r="F78" s="4">
        <v>3700</v>
      </c>
      <c r="G78" s="4" t="s">
        <v>340</v>
      </c>
    </row>
    <row r="79" spans="1:7" x14ac:dyDescent="1.1499999999999999">
      <c r="A79" s="4" t="s">
        <v>337</v>
      </c>
      <c r="B79" s="4" t="s">
        <v>338</v>
      </c>
      <c r="C79" s="4">
        <v>37.200000000000003</v>
      </c>
      <c r="D79" s="4">
        <v>19.399999999999999</v>
      </c>
      <c r="E79" s="4">
        <v>184</v>
      </c>
      <c r="F79" s="4">
        <v>3900</v>
      </c>
      <c r="G79" s="4" t="s">
        <v>339</v>
      </c>
    </row>
    <row r="80" spans="1:7" x14ac:dyDescent="1.1499999999999999">
      <c r="A80" s="4" t="s">
        <v>337</v>
      </c>
      <c r="B80" s="4" t="s">
        <v>338</v>
      </c>
      <c r="C80" s="4">
        <v>36.200000000000003</v>
      </c>
      <c r="D80" s="4">
        <v>16.100000000000001</v>
      </c>
      <c r="E80" s="4">
        <v>187</v>
      </c>
      <c r="F80" s="4">
        <v>3550</v>
      </c>
      <c r="G80" s="4" t="s">
        <v>340</v>
      </c>
    </row>
    <row r="81" spans="1:7" x14ac:dyDescent="1.1499999999999999">
      <c r="A81" s="4" t="s">
        <v>337</v>
      </c>
      <c r="B81" s="4" t="s">
        <v>338</v>
      </c>
      <c r="C81" s="4">
        <v>42.1</v>
      </c>
      <c r="D81" s="4">
        <v>19.100000000000001</v>
      </c>
      <c r="E81" s="4">
        <v>195</v>
      </c>
      <c r="F81" s="4">
        <v>4000</v>
      </c>
      <c r="G81" s="4" t="s">
        <v>339</v>
      </c>
    </row>
    <row r="82" spans="1:7" x14ac:dyDescent="1.1499999999999999">
      <c r="A82" s="4" t="s">
        <v>337</v>
      </c>
      <c r="B82" s="4" t="s">
        <v>338</v>
      </c>
      <c r="C82" s="4">
        <v>34.6</v>
      </c>
      <c r="D82" s="4">
        <v>17.2</v>
      </c>
      <c r="E82" s="4">
        <v>189</v>
      </c>
      <c r="F82" s="4">
        <v>3200</v>
      </c>
      <c r="G82" s="4" t="s">
        <v>340</v>
      </c>
    </row>
    <row r="83" spans="1:7" x14ac:dyDescent="1.1499999999999999">
      <c r="A83" s="4" t="s">
        <v>337</v>
      </c>
      <c r="B83" s="4" t="s">
        <v>338</v>
      </c>
      <c r="C83" s="4">
        <v>42.9</v>
      </c>
      <c r="D83" s="4">
        <v>17.600000000000001</v>
      </c>
      <c r="E83" s="4">
        <v>196</v>
      </c>
      <c r="F83" s="4">
        <v>4700</v>
      </c>
      <c r="G83" s="4" t="s">
        <v>339</v>
      </c>
    </row>
    <row r="84" spans="1:7" x14ac:dyDescent="1.1499999999999999">
      <c r="A84" s="4" t="s">
        <v>337</v>
      </c>
      <c r="B84" s="4" t="s">
        <v>338</v>
      </c>
      <c r="C84" s="4">
        <v>36.700000000000003</v>
      </c>
      <c r="D84" s="4">
        <v>18.8</v>
      </c>
      <c r="E84" s="4">
        <v>187</v>
      </c>
      <c r="F84" s="4">
        <v>3800</v>
      </c>
      <c r="G84" s="4" t="s">
        <v>340</v>
      </c>
    </row>
    <row r="85" spans="1:7" x14ac:dyDescent="1.1499999999999999">
      <c r="A85" s="4" t="s">
        <v>337</v>
      </c>
      <c r="B85" s="4" t="s">
        <v>338</v>
      </c>
      <c r="C85" s="4">
        <v>35.1</v>
      </c>
      <c r="D85" s="4">
        <v>19.399999999999999</v>
      </c>
      <c r="E85" s="4">
        <v>193</v>
      </c>
      <c r="F85" s="4">
        <v>4200</v>
      </c>
      <c r="G85" s="4" t="s">
        <v>339</v>
      </c>
    </row>
    <row r="86" spans="1:7" x14ac:dyDescent="1.1499999999999999">
      <c r="A86" s="4" t="s">
        <v>337</v>
      </c>
      <c r="B86" s="4" t="s">
        <v>343</v>
      </c>
      <c r="C86" s="4">
        <v>37.299999999999997</v>
      </c>
      <c r="D86" s="4">
        <v>17.8</v>
      </c>
      <c r="E86" s="4">
        <v>191</v>
      </c>
      <c r="F86" s="4">
        <v>3350</v>
      </c>
      <c r="G86" s="4" t="s">
        <v>340</v>
      </c>
    </row>
    <row r="87" spans="1:7" x14ac:dyDescent="1.1499999999999999">
      <c r="A87" s="4" t="s">
        <v>337</v>
      </c>
      <c r="B87" s="4" t="s">
        <v>343</v>
      </c>
      <c r="C87" s="4">
        <v>41.3</v>
      </c>
      <c r="D87" s="4">
        <v>20.3</v>
      </c>
      <c r="E87" s="4">
        <v>194</v>
      </c>
      <c r="F87" s="4">
        <v>3550</v>
      </c>
      <c r="G87" s="4" t="s">
        <v>339</v>
      </c>
    </row>
    <row r="88" spans="1:7" x14ac:dyDescent="1.1499999999999999">
      <c r="A88" s="4" t="s">
        <v>337</v>
      </c>
      <c r="B88" s="4" t="s">
        <v>343</v>
      </c>
      <c r="C88" s="4">
        <v>36.299999999999997</v>
      </c>
      <c r="D88" s="4">
        <v>19.5</v>
      </c>
      <c r="E88" s="4">
        <v>190</v>
      </c>
      <c r="F88" s="4">
        <v>3800</v>
      </c>
      <c r="G88" s="4" t="s">
        <v>339</v>
      </c>
    </row>
    <row r="89" spans="1:7" x14ac:dyDescent="1.1499999999999999">
      <c r="A89" s="4" t="s">
        <v>337</v>
      </c>
      <c r="B89" s="4" t="s">
        <v>343</v>
      </c>
      <c r="C89" s="4">
        <v>36.9</v>
      </c>
      <c r="D89" s="4">
        <v>18.600000000000001</v>
      </c>
      <c r="E89" s="4">
        <v>189</v>
      </c>
      <c r="F89" s="4">
        <v>3500</v>
      </c>
      <c r="G89" s="4" t="s">
        <v>340</v>
      </c>
    </row>
    <row r="90" spans="1:7" x14ac:dyDescent="1.1499999999999999">
      <c r="A90" s="4" t="s">
        <v>337</v>
      </c>
      <c r="B90" s="4" t="s">
        <v>343</v>
      </c>
      <c r="C90" s="4">
        <v>38.299999999999997</v>
      </c>
      <c r="D90" s="4">
        <v>19.2</v>
      </c>
      <c r="E90" s="4">
        <v>189</v>
      </c>
      <c r="F90" s="4">
        <v>3950</v>
      </c>
      <c r="G90" s="4" t="s">
        <v>339</v>
      </c>
    </row>
    <row r="91" spans="1:7" x14ac:dyDescent="1.1499999999999999">
      <c r="A91" s="4" t="s">
        <v>337</v>
      </c>
      <c r="B91" s="4" t="s">
        <v>343</v>
      </c>
      <c r="C91" s="4">
        <v>38.9</v>
      </c>
      <c r="D91" s="4">
        <v>18.8</v>
      </c>
      <c r="E91" s="4">
        <v>190</v>
      </c>
      <c r="F91" s="4">
        <v>3600</v>
      </c>
      <c r="G91" s="4" t="s">
        <v>340</v>
      </c>
    </row>
    <row r="92" spans="1:7" x14ac:dyDescent="1.1499999999999999">
      <c r="A92" s="4" t="s">
        <v>337</v>
      </c>
      <c r="B92" s="4" t="s">
        <v>343</v>
      </c>
      <c r="C92" s="4">
        <v>35.700000000000003</v>
      </c>
      <c r="D92" s="4">
        <v>18</v>
      </c>
      <c r="E92" s="4">
        <v>202</v>
      </c>
      <c r="F92" s="4">
        <v>3550</v>
      </c>
      <c r="G92" s="4" t="s">
        <v>340</v>
      </c>
    </row>
    <row r="93" spans="1:7" x14ac:dyDescent="1.1499999999999999">
      <c r="A93" s="4" t="s">
        <v>337</v>
      </c>
      <c r="B93" s="4" t="s">
        <v>343</v>
      </c>
      <c r="C93" s="4">
        <v>41.1</v>
      </c>
      <c r="D93" s="4">
        <v>18.100000000000001</v>
      </c>
      <c r="E93" s="4">
        <v>205</v>
      </c>
      <c r="F93" s="4">
        <v>4300</v>
      </c>
      <c r="G93" s="4" t="s">
        <v>339</v>
      </c>
    </row>
    <row r="94" spans="1:7" x14ac:dyDescent="1.1499999999999999">
      <c r="A94" s="4" t="s">
        <v>337</v>
      </c>
      <c r="B94" s="4" t="s">
        <v>343</v>
      </c>
      <c r="C94" s="4">
        <v>34</v>
      </c>
      <c r="D94" s="4">
        <v>17.100000000000001</v>
      </c>
      <c r="E94" s="4">
        <v>185</v>
      </c>
      <c r="F94" s="4">
        <v>3400</v>
      </c>
      <c r="G94" s="4" t="s">
        <v>340</v>
      </c>
    </row>
    <row r="95" spans="1:7" x14ac:dyDescent="1.1499999999999999">
      <c r="A95" s="4" t="s">
        <v>337</v>
      </c>
      <c r="B95" s="4" t="s">
        <v>343</v>
      </c>
      <c r="C95" s="4">
        <v>39.6</v>
      </c>
      <c r="D95" s="4">
        <v>18.100000000000001</v>
      </c>
      <c r="E95" s="4">
        <v>186</v>
      </c>
      <c r="F95" s="4">
        <v>4450</v>
      </c>
      <c r="G95" s="4" t="s">
        <v>339</v>
      </c>
    </row>
    <row r="96" spans="1:7" x14ac:dyDescent="1.1499999999999999">
      <c r="A96" s="4" t="s">
        <v>337</v>
      </c>
      <c r="B96" s="4" t="s">
        <v>343</v>
      </c>
      <c r="C96" s="4">
        <v>36.200000000000003</v>
      </c>
      <c r="D96" s="4">
        <v>17.3</v>
      </c>
      <c r="E96" s="4">
        <v>187</v>
      </c>
      <c r="F96" s="4">
        <v>3300</v>
      </c>
      <c r="G96" s="4" t="s">
        <v>340</v>
      </c>
    </row>
    <row r="97" spans="1:7" x14ac:dyDescent="1.1499999999999999">
      <c r="A97" s="4" t="s">
        <v>337</v>
      </c>
      <c r="B97" s="4" t="s">
        <v>343</v>
      </c>
      <c r="C97" s="4">
        <v>40.799999999999997</v>
      </c>
      <c r="D97" s="4">
        <v>18.899999999999999</v>
      </c>
      <c r="E97" s="4">
        <v>208</v>
      </c>
      <c r="F97" s="4">
        <v>4300</v>
      </c>
      <c r="G97" s="4" t="s">
        <v>339</v>
      </c>
    </row>
    <row r="98" spans="1:7" x14ac:dyDescent="1.1499999999999999">
      <c r="A98" s="4" t="s">
        <v>337</v>
      </c>
      <c r="B98" s="4" t="s">
        <v>343</v>
      </c>
      <c r="C98" s="4">
        <v>38.1</v>
      </c>
      <c r="D98" s="4">
        <v>18.600000000000001</v>
      </c>
      <c r="E98" s="4">
        <v>190</v>
      </c>
      <c r="F98" s="4">
        <v>3700</v>
      </c>
      <c r="G98" s="4" t="s">
        <v>340</v>
      </c>
    </row>
    <row r="99" spans="1:7" x14ac:dyDescent="1.1499999999999999">
      <c r="A99" s="4" t="s">
        <v>337</v>
      </c>
      <c r="B99" s="4" t="s">
        <v>343</v>
      </c>
      <c r="C99" s="4">
        <v>40.299999999999997</v>
      </c>
      <c r="D99" s="4">
        <v>18.5</v>
      </c>
      <c r="E99" s="4">
        <v>196</v>
      </c>
      <c r="F99" s="4">
        <v>4350</v>
      </c>
      <c r="G99" s="4" t="s">
        <v>339</v>
      </c>
    </row>
    <row r="100" spans="1:7" x14ac:dyDescent="1.1499999999999999">
      <c r="A100" s="4" t="s">
        <v>337</v>
      </c>
      <c r="B100" s="4" t="s">
        <v>343</v>
      </c>
      <c r="C100" s="4">
        <v>33.1</v>
      </c>
      <c r="D100" s="4">
        <v>16.100000000000001</v>
      </c>
      <c r="E100" s="4">
        <v>178</v>
      </c>
      <c r="F100" s="4">
        <v>2900</v>
      </c>
      <c r="G100" s="4" t="s">
        <v>340</v>
      </c>
    </row>
    <row r="101" spans="1:7" x14ac:dyDescent="1.1499999999999999">
      <c r="A101" s="4" t="s">
        <v>337</v>
      </c>
      <c r="B101" s="4" t="s">
        <v>343</v>
      </c>
      <c r="C101" s="4">
        <v>43.2</v>
      </c>
      <c r="D101" s="4">
        <v>18.5</v>
      </c>
      <c r="E101" s="4">
        <v>192</v>
      </c>
      <c r="F101" s="4">
        <v>4100</v>
      </c>
      <c r="G101" s="4" t="s">
        <v>339</v>
      </c>
    </row>
    <row r="102" spans="1:7" x14ac:dyDescent="1.1499999999999999">
      <c r="A102" s="4" t="s">
        <v>337</v>
      </c>
      <c r="B102" s="4" t="s">
        <v>342</v>
      </c>
      <c r="C102" s="4">
        <v>35</v>
      </c>
      <c r="D102" s="4">
        <v>17.899999999999999</v>
      </c>
      <c r="E102" s="4">
        <v>192</v>
      </c>
      <c r="F102" s="4">
        <v>3725</v>
      </c>
      <c r="G102" s="4" t="s">
        <v>340</v>
      </c>
    </row>
    <row r="103" spans="1:7" x14ac:dyDescent="1.1499999999999999">
      <c r="A103" s="4" t="s">
        <v>337</v>
      </c>
      <c r="B103" s="4" t="s">
        <v>342</v>
      </c>
      <c r="C103" s="4">
        <v>41</v>
      </c>
      <c r="D103" s="4">
        <v>20</v>
      </c>
      <c r="E103" s="4">
        <v>203</v>
      </c>
      <c r="F103" s="4">
        <v>4725</v>
      </c>
      <c r="G103" s="4" t="s">
        <v>339</v>
      </c>
    </row>
    <row r="104" spans="1:7" x14ac:dyDescent="1.1499999999999999">
      <c r="A104" s="4" t="s">
        <v>337</v>
      </c>
      <c r="B104" s="4" t="s">
        <v>342</v>
      </c>
      <c r="C104" s="4">
        <v>37.700000000000003</v>
      </c>
      <c r="D104" s="4">
        <v>16</v>
      </c>
      <c r="E104" s="4">
        <v>183</v>
      </c>
      <c r="F104" s="4">
        <v>3075</v>
      </c>
      <c r="G104" s="4" t="s">
        <v>340</v>
      </c>
    </row>
    <row r="105" spans="1:7" x14ac:dyDescent="1.1499999999999999">
      <c r="A105" s="4" t="s">
        <v>337</v>
      </c>
      <c r="B105" s="4" t="s">
        <v>342</v>
      </c>
      <c r="C105" s="4">
        <v>37.799999999999997</v>
      </c>
      <c r="D105" s="4">
        <v>20</v>
      </c>
      <c r="E105" s="4">
        <v>190</v>
      </c>
      <c r="F105" s="4">
        <v>4250</v>
      </c>
      <c r="G105" s="4" t="s">
        <v>339</v>
      </c>
    </row>
    <row r="106" spans="1:7" x14ac:dyDescent="1.1499999999999999">
      <c r="A106" s="4" t="s">
        <v>337</v>
      </c>
      <c r="B106" s="4" t="s">
        <v>342</v>
      </c>
      <c r="C106" s="4">
        <v>37.9</v>
      </c>
      <c r="D106" s="4">
        <v>18.600000000000001</v>
      </c>
      <c r="E106" s="4">
        <v>193</v>
      </c>
      <c r="F106" s="4">
        <v>2925</v>
      </c>
      <c r="G106" s="4" t="s">
        <v>340</v>
      </c>
    </row>
    <row r="107" spans="1:7" x14ac:dyDescent="1.1499999999999999">
      <c r="A107" s="4" t="s">
        <v>337</v>
      </c>
      <c r="B107" s="4" t="s">
        <v>342</v>
      </c>
      <c r="C107" s="4">
        <v>39.700000000000003</v>
      </c>
      <c r="D107" s="4">
        <v>18.899999999999999</v>
      </c>
      <c r="E107" s="4">
        <v>184</v>
      </c>
      <c r="F107" s="4">
        <v>3550</v>
      </c>
      <c r="G107" s="4" t="s">
        <v>339</v>
      </c>
    </row>
    <row r="108" spans="1:7" x14ac:dyDescent="1.1499999999999999">
      <c r="A108" s="4" t="s">
        <v>337</v>
      </c>
      <c r="B108" s="4" t="s">
        <v>342</v>
      </c>
      <c r="C108" s="4">
        <v>38.6</v>
      </c>
      <c r="D108" s="4">
        <v>17.2</v>
      </c>
      <c r="E108" s="4">
        <v>199</v>
      </c>
      <c r="F108" s="4">
        <v>3750</v>
      </c>
      <c r="G108" s="4" t="s">
        <v>340</v>
      </c>
    </row>
    <row r="109" spans="1:7" x14ac:dyDescent="1.1499999999999999">
      <c r="A109" s="4" t="s">
        <v>337</v>
      </c>
      <c r="B109" s="4" t="s">
        <v>342</v>
      </c>
      <c r="C109" s="4">
        <v>38.200000000000003</v>
      </c>
      <c r="D109" s="4">
        <v>20</v>
      </c>
      <c r="E109" s="4">
        <v>190</v>
      </c>
      <c r="F109" s="4">
        <v>3900</v>
      </c>
      <c r="G109" s="4" t="s">
        <v>339</v>
      </c>
    </row>
    <row r="110" spans="1:7" x14ac:dyDescent="1.1499999999999999">
      <c r="A110" s="4" t="s">
        <v>337</v>
      </c>
      <c r="B110" s="4" t="s">
        <v>342</v>
      </c>
      <c r="C110" s="4">
        <v>38.1</v>
      </c>
      <c r="D110" s="4">
        <v>17</v>
      </c>
      <c r="E110" s="4">
        <v>181</v>
      </c>
      <c r="F110" s="4">
        <v>3175</v>
      </c>
      <c r="G110" s="4" t="s">
        <v>340</v>
      </c>
    </row>
    <row r="111" spans="1:7" x14ac:dyDescent="1.1499999999999999">
      <c r="A111" s="4" t="s">
        <v>337</v>
      </c>
      <c r="B111" s="4" t="s">
        <v>342</v>
      </c>
      <c r="C111" s="4">
        <v>43.2</v>
      </c>
      <c r="D111" s="4">
        <v>19</v>
      </c>
      <c r="E111" s="4">
        <v>197</v>
      </c>
      <c r="F111" s="4">
        <v>4775</v>
      </c>
      <c r="G111" s="4" t="s">
        <v>339</v>
      </c>
    </row>
    <row r="112" spans="1:7" x14ac:dyDescent="1.1499999999999999">
      <c r="A112" s="4" t="s">
        <v>337</v>
      </c>
      <c r="B112" s="4" t="s">
        <v>342</v>
      </c>
      <c r="C112" s="4">
        <v>38.1</v>
      </c>
      <c r="D112" s="4">
        <v>16.5</v>
      </c>
      <c r="E112" s="4">
        <v>198</v>
      </c>
      <c r="F112" s="4">
        <v>3825</v>
      </c>
      <c r="G112" s="4" t="s">
        <v>340</v>
      </c>
    </row>
    <row r="113" spans="1:7" x14ac:dyDescent="1.1499999999999999">
      <c r="A113" s="4" t="s">
        <v>337</v>
      </c>
      <c r="B113" s="4" t="s">
        <v>342</v>
      </c>
      <c r="C113" s="4">
        <v>45.6</v>
      </c>
      <c r="D113" s="4">
        <v>20.3</v>
      </c>
      <c r="E113" s="4">
        <v>191</v>
      </c>
      <c r="F113" s="4">
        <v>4600</v>
      </c>
      <c r="G113" s="4" t="s">
        <v>339</v>
      </c>
    </row>
    <row r="114" spans="1:7" x14ac:dyDescent="1.1499999999999999">
      <c r="A114" s="4" t="s">
        <v>337</v>
      </c>
      <c r="B114" s="4" t="s">
        <v>342</v>
      </c>
      <c r="C114" s="4">
        <v>39.700000000000003</v>
      </c>
      <c r="D114" s="4">
        <v>17.7</v>
      </c>
      <c r="E114" s="4">
        <v>193</v>
      </c>
      <c r="F114" s="4">
        <v>3200</v>
      </c>
      <c r="G114" s="4" t="s">
        <v>340</v>
      </c>
    </row>
    <row r="115" spans="1:7" x14ac:dyDescent="1.1499999999999999">
      <c r="A115" s="4" t="s">
        <v>337</v>
      </c>
      <c r="B115" s="4" t="s">
        <v>342</v>
      </c>
      <c r="C115" s="4">
        <v>42.2</v>
      </c>
      <c r="D115" s="4">
        <v>19.5</v>
      </c>
      <c r="E115" s="4">
        <v>197</v>
      </c>
      <c r="F115" s="4">
        <v>4275</v>
      </c>
      <c r="G115" s="4" t="s">
        <v>339</v>
      </c>
    </row>
    <row r="116" spans="1:7" x14ac:dyDescent="1.1499999999999999">
      <c r="A116" s="4" t="s">
        <v>337</v>
      </c>
      <c r="B116" s="4" t="s">
        <v>342</v>
      </c>
      <c r="C116" s="4">
        <v>39.6</v>
      </c>
      <c r="D116" s="4">
        <v>20.7</v>
      </c>
      <c r="E116" s="4">
        <v>191</v>
      </c>
      <c r="F116" s="4">
        <v>3900</v>
      </c>
      <c r="G116" s="4" t="s">
        <v>340</v>
      </c>
    </row>
    <row r="117" spans="1:7" x14ac:dyDescent="1.1499999999999999">
      <c r="A117" s="4" t="s">
        <v>337</v>
      </c>
      <c r="B117" s="4" t="s">
        <v>342</v>
      </c>
      <c r="C117" s="4">
        <v>42.7</v>
      </c>
      <c r="D117" s="4">
        <v>18.3</v>
      </c>
      <c r="E117" s="4">
        <v>196</v>
      </c>
      <c r="F117" s="4">
        <v>4075</v>
      </c>
      <c r="G117" s="4" t="s">
        <v>339</v>
      </c>
    </row>
    <row r="118" spans="1:7" x14ac:dyDescent="1.1499999999999999">
      <c r="A118" s="4" t="s">
        <v>337</v>
      </c>
      <c r="B118" s="4" t="s">
        <v>338</v>
      </c>
      <c r="C118" s="4">
        <v>38.6</v>
      </c>
      <c r="D118" s="4">
        <v>17</v>
      </c>
      <c r="E118" s="4">
        <v>188</v>
      </c>
      <c r="F118" s="4">
        <v>2900</v>
      </c>
      <c r="G118" s="4" t="s">
        <v>340</v>
      </c>
    </row>
    <row r="119" spans="1:7" x14ac:dyDescent="1.1499999999999999">
      <c r="A119" s="4" t="s">
        <v>337</v>
      </c>
      <c r="B119" s="4" t="s">
        <v>338</v>
      </c>
      <c r="C119" s="4">
        <v>37.299999999999997</v>
      </c>
      <c r="D119" s="4">
        <v>20.5</v>
      </c>
      <c r="E119" s="4">
        <v>199</v>
      </c>
      <c r="F119" s="4">
        <v>3775</v>
      </c>
      <c r="G119" s="4" t="s">
        <v>339</v>
      </c>
    </row>
    <row r="120" spans="1:7" x14ac:dyDescent="1.1499999999999999">
      <c r="A120" s="4" t="s">
        <v>337</v>
      </c>
      <c r="B120" s="4" t="s">
        <v>338</v>
      </c>
      <c r="C120" s="4">
        <v>35.700000000000003</v>
      </c>
      <c r="D120" s="4">
        <v>17</v>
      </c>
      <c r="E120" s="4">
        <v>189</v>
      </c>
      <c r="F120" s="4">
        <v>3350</v>
      </c>
      <c r="G120" s="4" t="s">
        <v>340</v>
      </c>
    </row>
    <row r="121" spans="1:7" x14ac:dyDescent="1.1499999999999999">
      <c r="A121" s="4" t="s">
        <v>337</v>
      </c>
      <c r="B121" s="4" t="s">
        <v>338</v>
      </c>
      <c r="C121" s="4">
        <v>41.1</v>
      </c>
      <c r="D121" s="4">
        <v>18.600000000000001</v>
      </c>
      <c r="E121" s="4">
        <v>189</v>
      </c>
      <c r="F121" s="4">
        <v>3325</v>
      </c>
      <c r="G121" s="4" t="s">
        <v>339</v>
      </c>
    </row>
    <row r="122" spans="1:7" x14ac:dyDescent="1.1499999999999999">
      <c r="A122" s="4" t="s">
        <v>337</v>
      </c>
      <c r="B122" s="4" t="s">
        <v>338</v>
      </c>
      <c r="C122" s="4">
        <v>36.200000000000003</v>
      </c>
      <c r="D122" s="4">
        <v>17.2</v>
      </c>
      <c r="E122" s="4">
        <v>187</v>
      </c>
      <c r="F122" s="4">
        <v>3150</v>
      </c>
      <c r="G122" s="4" t="s">
        <v>340</v>
      </c>
    </row>
    <row r="123" spans="1:7" x14ac:dyDescent="1.1499999999999999">
      <c r="A123" s="4" t="s">
        <v>337</v>
      </c>
      <c r="B123" s="4" t="s">
        <v>338</v>
      </c>
      <c r="C123" s="4">
        <v>37.700000000000003</v>
      </c>
      <c r="D123" s="4">
        <v>19.8</v>
      </c>
      <c r="E123" s="4">
        <v>198</v>
      </c>
      <c r="F123" s="4">
        <v>3500</v>
      </c>
      <c r="G123" s="4" t="s">
        <v>339</v>
      </c>
    </row>
    <row r="124" spans="1:7" x14ac:dyDescent="1.1499999999999999">
      <c r="A124" s="4" t="s">
        <v>337</v>
      </c>
      <c r="B124" s="4" t="s">
        <v>338</v>
      </c>
      <c r="C124" s="4">
        <v>40.200000000000003</v>
      </c>
      <c r="D124" s="4">
        <v>17</v>
      </c>
      <c r="E124" s="4">
        <v>176</v>
      </c>
      <c r="F124" s="4">
        <v>3450</v>
      </c>
      <c r="G124" s="4" t="s">
        <v>340</v>
      </c>
    </row>
    <row r="125" spans="1:7" x14ac:dyDescent="1.1499999999999999">
      <c r="A125" s="4" t="s">
        <v>337</v>
      </c>
      <c r="B125" s="4" t="s">
        <v>338</v>
      </c>
      <c r="C125" s="4">
        <v>41.4</v>
      </c>
      <c r="D125" s="4">
        <v>18.5</v>
      </c>
      <c r="E125" s="4">
        <v>202</v>
      </c>
      <c r="F125" s="4">
        <v>3875</v>
      </c>
      <c r="G125" s="4" t="s">
        <v>339</v>
      </c>
    </row>
    <row r="126" spans="1:7" x14ac:dyDescent="1.1499999999999999">
      <c r="A126" s="4" t="s">
        <v>337</v>
      </c>
      <c r="B126" s="4" t="s">
        <v>338</v>
      </c>
      <c r="C126" s="4">
        <v>35.200000000000003</v>
      </c>
      <c r="D126" s="4">
        <v>15.9</v>
      </c>
      <c r="E126" s="4">
        <v>186</v>
      </c>
      <c r="F126" s="4">
        <v>3050</v>
      </c>
      <c r="G126" s="4" t="s">
        <v>340</v>
      </c>
    </row>
    <row r="127" spans="1:7" x14ac:dyDescent="1.1499999999999999">
      <c r="A127" s="4" t="s">
        <v>337</v>
      </c>
      <c r="B127" s="4" t="s">
        <v>338</v>
      </c>
      <c r="C127" s="4">
        <v>40.6</v>
      </c>
      <c r="D127" s="4">
        <v>19</v>
      </c>
      <c r="E127" s="4">
        <v>199</v>
      </c>
      <c r="F127" s="4">
        <v>4000</v>
      </c>
      <c r="G127" s="4" t="s">
        <v>339</v>
      </c>
    </row>
    <row r="128" spans="1:7" x14ac:dyDescent="1.1499999999999999">
      <c r="A128" s="4" t="s">
        <v>337</v>
      </c>
      <c r="B128" s="4" t="s">
        <v>338</v>
      </c>
      <c r="C128" s="4">
        <v>38.799999999999997</v>
      </c>
      <c r="D128" s="4">
        <v>17.600000000000001</v>
      </c>
      <c r="E128" s="4">
        <v>191</v>
      </c>
      <c r="F128" s="4">
        <v>3275</v>
      </c>
      <c r="G128" s="4" t="s">
        <v>340</v>
      </c>
    </row>
    <row r="129" spans="1:7" x14ac:dyDescent="1.1499999999999999">
      <c r="A129" s="4" t="s">
        <v>337</v>
      </c>
      <c r="B129" s="4" t="s">
        <v>338</v>
      </c>
      <c r="C129" s="4">
        <v>41.5</v>
      </c>
      <c r="D129" s="4">
        <v>18.3</v>
      </c>
      <c r="E129" s="4">
        <v>195</v>
      </c>
      <c r="F129" s="4">
        <v>4300</v>
      </c>
      <c r="G129" s="4" t="s">
        <v>339</v>
      </c>
    </row>
    <row r="130" spans="1:7" x14ac:dyDescent="1.1499999999999999">
      <c r="A130" s="4" t="s">
        <v>337</v>
      </c>
      <c r="B130" s="4" t="s">
        <v>338</v>
      </c>
      <c r="C130" s="4">
        <v>39</v>
      </c>
      <c r="D130" s="4">
        <v>17.100000000000001</v>
      </c>
      <c r="E130" s="4">
        <v>191</v>
      </c>
      <c r="F130" s="4">
        <v>3050</v>
      </c>
      <c r="G130" s="4" t="s">
        <v>340</v>
      </c>
    </row>
    <row r="131" spans="1:7" x14ac:dyDescent="1.1499999999999999">
      <c r="A131" s="4" t="s">
        <v>337</v>
      </c>
      <c r="B131" s="4" t="s">
        <v>338</v>
      </c>
      <c r="C131" s="4">
        <v>44.1</v>
      </c>
      <c r="D131" s="4">
        <v>18</v>
      </c>
      <c r="E131" s="4">
        <v>210</v>
      </c>
      <c r="F131" s="4">
        <v>4000</v>
      </c>
      <c r="G131" s="4" t="s">
        <v>339</v>
      </c>
    </row>
    <row r="132" spans="1:7" x14ac:dyDescent="1.1499999999999999">
      <c r="A132" s="4" t="s">
        <v>337</v>
      </c>
      <c r="B132" s="4" t="s">
        <v>338</v>
      </c>
      <c r="C132" s="4">
        <v>38.5</v>
      </c>
      <c r="D132" s="4">
        <v>17.899999999999999</v>
      </c>
      <c r="E132" s="4">
        <v>190</v>
      </c>
      <c r="F132" s="4">
        <v>3325</v>
      </c>
      <c r="G132" s="4" t="s">
        <v>340</v>
      </c>
    </row>
    <row r="133" spans="1:7" x14ac:dyDescent="1.1499999999999999">
      <c r="A133" s="4" t="s">
        <v>337</v>
      </c>
      <c r="B133" s="4" t="s">
        <v>338</v>
      </c>
      <c r="C133" s="4">
        <v>43.1</v>
      </c>
      <c r="D133" s="4">
        <v>19.2</v>
      </c>
      <c r="E133" s="4">
        <v>197</v>
      </c>
      <c r="F133" s="4">
        <v>3500</v>
      </c>
      <c r="G133" s="4" t="s">
        <v>339</v>
      </c>
    </row>
    <row r="134" spans="1:7" x14ac:dyDescent="1.1499999999999999">
      <c r="A134" s="4" t="s">
        <v>337</v>
      </c>
      <c r="B134" s="4" t="s">
        <v>343</v>
      </c>
      <c r="C134" s="4">
        <v>36.799999999999997</v>
      </c>
      <c r="D134" s="4">
        <v>18.5</v>
      </c>
      <c r="E134" s="4">
        <v>193</v>
      </c>
      <c r="F134" s="4">
        <v>3500</v>
      </c>
      <c r="G134" s="4" t="s">
        <v>340</v>
      </c>
    </row>
    <row r="135" spans="1:7" x14ac:dyDescent="1.1499999999999999">
      <c r="A135" s="4" t="s">
        <v>337</v>
      </c>
      <c r="B135" s="4" t="s">
        <v>343</v>
      </c>
      <c r="C135" s="4">
        <v>37.5</v>
      </c>
      <c r="D135" s="4">
        <v>18.5</v>
      </c>
      <c r="E135" s="4">
        <v>199</v>
      </c>
      <c r="F135" s="4">
        <v>4475</v>
      </c>
      <c r="G135" s="4" t="s">
        <v>339</v>
      </c>
    </row>
    <row r="136" spans="1:7" x14ac:dyDescent="1.1499999999999999">
      <c r="A136" s="4" t="s">
        <v>337</v>
      </c>
      <c r="B136" s="4" t="s">
        <v>343</v>
      </c>
      <c r="C136" s="4">
        <v>38.1</v>
      </c>
      <c r="D136" s="4">
        <v>17.600000000000001</v>
      </c>
      <c r="E136" s="4">
        <v>187</v>
      </c>
      <c r="F136" s="4">
        <v>3425</v>
      </c>
      <c r="G136" s="4" t="s">
        <v>340</v>
      </c>
    </row>
    <row r="137" spans="1:7" x14ac:dyDescent="1.1499999999999999">
      <c r="A137" s="4" t="s">
        <v>337</v>
      </c>
      <c r="B137" s="4" t="s">
        <v>343</v>
      </c>
      <c r="C137" s="4">
        <v>41.1</v>
      </c>
      <c r="D137" s="4">
        <v>17.5</v>
      </c>
      <c r="E137" s="4">
        <v>190</v>
      </c>
      <c r="F137" s="4">
        <v>3900</v>
      </c>
      <c r="G137" s="4" t="s">
        <v>339</v>
      </c>
    </row>
    <row r="138" spans="1:7" x14ac:dyDescent="1.1499999999999999">
      <c r="A138" s="4" t="s">
        <v>337</v>
      </c>
      <c r="B138" s="4" t="s">
        <v>343</v>
      </c>
      <c r="C138" s="4">
        <v>35.6</v>
      </c>
      <c r="D138" s="4">
        <v>17.5</v>
      </c>
      <c r="E138" s="4">
        <v>191</v>
      </c>
      <c r="F138" s="4">
        <v>3175</v>
      </c>
      <c r="G138" s="4" t="s">
        <v>340</v>
      </c>
    </row>
    <row r="139" spans="1:7" x14ac:dyDescent="1.1499999999999999">
      <c r="A139" s="4" t="s">
        <v>337</v>
      </c>
      <c r="B139" s="4" t="s">
        <v>343</v>
      </c>
      <c r="C139" s="4">
        <v>40.200000000000003</v>
      </c>
      <c r="D139" s="4">
        <v>20.100000000000001</v>
      </c>
      <c r="E139" s="4">
        <v>200</v>
      </c>
      <c r="F139" s="4">
        <v>3975</v>
      </c>
      <c r="G139" s="4" t="s">
        <v>339</v>
      </c>
    </row>
    <row r="140" spans="1:7" x14ac:dyDescent="1.1499999999999999">
      <c r="A140" s="4" t="s">
        <v>337</v>
      </c>
      <c r="B140" s="4" t="s">
        <v>343</v>
      </c>
      <c r="C140" s="4">
        <v>37</v>
      </c>
      <c r="D140" s="4">
        <v>16.5</v>
      </c>
      <c r="E140" s="4">
        <v>185</v>
      </c>
      <c r="F140" s="4">
        <v>3400</v>
      </c>
      <c r="G140" s="4" t="s">
        <v>340</v>
      </c>
    </row>
    <row r="141" spans="1:7" x14ac:dyDescent="1.1499999999999999">
      <c r="A141" s="4" t="s">
        <v>337</v>
      </c>
      <c r="B141" s="4" t="s">
        <v>343</v>
      </c>
      <c r="C141" s="4">
        <v>39.700000000000003</v>
      </c>
      <c r="D141" s="4">
        <v>17.899999999999999</v>
      </c>
      <c r="E141" s="4">
        <v>193</v>
      </c>
      <c r="F141" s="4">
        <v>4250</v>
      </c>
      <c r="G141" s="4" t="s">
        <v>339</v>
      </c>
    </row>
    <row r="142" spans="1:7" x14ac:dyDescent="1.1499999999999999">
      <c r="A142" s="4" t="s">
        <v>337</v>
      </c>
      <c r="B142" s="4" t="s">
        <v>343</v>
      </c>
      <c r="C142" s="4">
        <v>40.200000000000003</v>
      </c>
      <c r="D142" s="4">
        <v>17.100000000000001</v>
      </c>
      <c r="E142" s="4">
        <v>193</v>
      </c>
      <c r="F142" s="4">
        <v>3400</v>
      </c>
      <c r="G142" s="4" t="s">
        <v>340</v>
      </c>
    </row>
    <row r="143" spans="1:7" x14ac:dyDescent="1.1499999999999999">
      <c r="A143" s="4" t="s">
        <v>337</v>
      </c>
      <c r="B143" s="4" t="s">
        <v>343</v>
      </c>
      <c r="C143" s="4">
        <v>40.6</v>
      </c>
      <c r="D143" s="4">
        <v>17.2</v>
      </c>
      <c r="E143" s="4">
        <v>187</v>
      </c>
      <c r="F143" s="4">
        <v>3475</v>
      </c>
      <c r="G143" s="4" t="s">
        <v>339</v>
      </c>
    </row>
    <row r="144" spans="1:7" x14ac:dyDescent="1.1499999999999999">
      <c r="A144" s="4" t="s">
        <v>337</v>
      </c>
      <c r="B144" s="4" t="s">
        <v>343</v>
      </c>
      <c r="C144" s="4">
        <v>32.1</v>
      </c>
      <c r="D144" s="4">
        <v>15.5</v>
      </c>
      <c r="E144" s="4">
        <v>188</v>
      </c>
      <c r="F144" s="4">
        <v>3050</v>
      </c>
      <c r="G144" s="4" t="s">
        <v>340</v>
      </c>
    </row>
    <row r="145" spans="1:7" x14ac:dyDescent="1.1499999999999999">
      <c r="A145" s="4" t="s">
        <v>337</v>
      </c>
      <c r="B145" s="4" t="s">
        <v>343</v>
      </c>
      <c r="C145" s="4">
        <v>40.700000000000003</v>
      </c>
      <c r="D145" s="4">
        <v>17</v>
      </c>
      <c r="E145" s="4">
        <v>190</v>
      </c>
      <c r="F145" s="4">
        <v>3725</v>
      </c>
      <c r="G145" s="4" t="s">
        <v>339</v>
      </c>
    </row>
    <row r="146" spans="1:7" x14ac:dyDescent="1.1499999999999999">
      <c r="A146" s="4" t="s">
        <v>337</v>
      </c>
      <c r="B146" s="4" t="s">
        <v>343</v>
      </c>
      <c r="C146" s="4">
        <v>37.299999999999997</v>
      </c>
      <c r="D146" s="4">
        <v>16.8</v>
      </c>
      <c r="E146" s="4">
        <v>192</v>
      </c>
      <c r="F146" s="4">
        <v>3000</v>
      </c>
      <c r="G146" s="4" t="s">
        <v>340</v>
      </c>
    </row>
    <row r="147" spans="1:7" x14ac:dyDescent="1.1499999999999999">
      <c r="A147" s="4" t="s">
        <v>337</v>
      </c>
      <c r="B147" s="4" t="s">
        <v>343</v>
      </c>
      <c r="C147" s="4">
        <v>39</v>
      </c>
      <c r="D147" s="4">
        <v>18.7</v>
      </c>
      <c r="E147" s="4">
        <v>185</v>
      </c>
      <c r="F147" s="4">
        <v>3650</v>
      </c>
      <c r="G147" s="4" t="s">
        <v>339</v>
      </c>
    </row>
    <row r="148" spans="1:7" x14ac:dyDescent="1.1499999999999999">
      <c r="A148" s="4" t="s">
        <v>337</v>
      </c>
      <c r="B148" s="4" t="s">
        <v>343</v>
      </c>
      <c r="C148" s="4">
        <v>39.200000000000003</v>
      </c>
      <c r="D148" s="4">
        <v>18.600000000000001</v>
      </c>
      <c r="E148" s="4">
        <v>190</v>
      </c>
      <c r="F148" s="4">
        <v>4250</v>
      </c>
      <c r="G148" s="4" t="s">
        <v>339</v>
      </c>
    </row>
    <row r="149" spans="1:7" x14ac:dyDescent="1.1499999999999999">
      <c r="A149" s="4" t="s">
        <v>337</v>
      </c>
      <c r="B149" s="4" t="s">
        <v>343</v>
      </c>
      <c r="C149" s="4">
        <v>36.6</v>
      </c>
      <c r="D149" s="4">
        <v>18.399999999999999</v>
      </c>
      <c r="E149" s="4">
        <v>184</v>
      </c>
      <c r="F149" s="4">
        <v>3475</v>
      </c>
      <c r="G149" s="4" t="s">
        <v>340</v>
      </c>
    </row>
    <row r="150" spans="1:7" x14ac:dyDescent="1.1499999999999999">
      <c r="A150" s="4" t="s">
        <v>337</v>
      </c>
      <c r="B150" s="4" t="s">
        <v>343</v>
      </c>
      <c r="C150" s="4">
        <v>36</v>
      </c>
      <c r="D150" s="4">
        <v>17.8</v>
      </c>
      <c r="E150" s="4">
        <v>195</v>
      </c>
      <c r="F150" s="4">
        <v>3450</v>
      </c>
      <c r="G150" s="4" t="s">
        <v>340</v>
      </c>
    </row>
    <row r="151" spans="1:7" x14ac:dyDescent="1.1499999999999999">
      <c r="A151" s="4" t="s">
        <v>337</v>
      </c>
      <c r="B151" s="4" t="s">
        <v>343</v>
      </c>
      <c r="C151" s="4">
        <v>37.799999999999997</v>
      </c>
      <c r="D151" s="4">
        <v>18.100000000000001</v>
      </c>
      <c r="E151" s="4">
        <v>193</v>
      </c>
      <c r="F151" s="4">
        <v>3750</v>
      </c>
      <c r="G151" s="4" t="s">
        <v>339</v>
      </c>
    </row>
    <row r="152" spans="1:7" x14ac:dyDescent="1.1499999999999999">
      <c r="A152" s="4" t="s">
        <v>337</v>
      </c>
      <c r="B152" s="4" t="s">
        <v>343</v>
      </c>
      <c r="C152" s="4">
        <v>36</v>
      </c>
      <c r="D152" s="4">
        <v>17.100000000000001</v>
      </c>
      <c r="E152" s="4">
        <v>187</v>
      </c>
      <c r="F152" s="4">
        <v>3700</v>
      </c>
      <c r="G152" s="4" t="s">
        <v>340</v>
      </c>
    </row>
    <row r="153" spans="1:7" x14ac:dyDescent="1.1499999999999999">
      <c r="A153" s="4" t="s">
        <v>337</v>
      </c>
      <c r="B153" s="4" t="s">
        <v>343</v>
      </c>
      <c r="C153" s="4">
        <v>41.5</v>
      </c>
      <c r="D153" s="4">
        <v>18.5</v>
      </c>
      <c r="E153" s="4">
        <v>201</v>
      </c>
      <c r="F153" s="4">
        <v>4000</v>
      </c>
      <c r="G153" s="4" t="s">
        <v>339</v>
      </c>
    </row>
    <row r="154" spans="1:7" x14ac:dyDescent="1.1499999999999999">
      <c r="A154" s="4" t="s">
        <v>344</v>
      </c>
      <c r="B154" s="4" t="s">
        <v>343</v>
      </c>
      <c r="C154" s="4">
        <v>46.5</v>
      </c>
      <c r="D154" s="4">
        <v>17.899999999999999</v>
      </c>
      <c r="E154" s="4">
        <v>192</v>
      </c>
      <c r="F154" s="4">
        <v>3500</v>
      </c>
      <c r="G154" s="4" t="s">
        <v>340</v>
      </c>
    </row>
    <row r="155" spans="1:7" x14ac:dyDescent="1.1499999999999999">
      <c r="A155" s="4" t="s">
        <v>344</v>
      </c>
      <c r="B155" s="4" t="s">
        <v>343</v>
      </c>
      <c r="C155" s="4">
        <v>50</v>
      </c>
      <c r="D155" s="4">
        <v>19.5</v>
      </c>
      <c r="E155" s="4">
        <v>196</v>
      </c>
      <c r="F155" s="4">
        <v>3900</v>
      </c>
      <c r="G155" s="4" t="s">
        <v>339</v>
      </c>
    </row>
    <row r="156" spans="1:7" x14ac:dyDescent="1.1499999999999999">
      <c r="A156" s="4" t="s">
        <v>344</v>
      </c>
      <c r="B156" s="4" t="s">
        <v>343</v>
      </c>
      <c r="C156" s="4">
        <v>51.3</v>
      </c>
      <c r="D156" s="4">
        <v>19.2</v>
      </c>
      <c r="E156" s="4">
        <v>193</v>
      </c>
      <c r="F156" s="4">
        <v>3650</v>
      </c>
      <c r="G156" s="4" t="s">
        <v>339</v>
      </c>
    </row>
    <row r="157" spans="1:7" x14ac:dyDescent="1.1499999999999999">
      <c r="A157" s="4" t="s">
        <v>344</v>
      </c>
      <c r="B157" s="4" t="s">
        <v>343</v>
      </c>
      <c r="C157" s="4">
        <v>45.4</v>
      </c>
      <c r="D157" s="4">
        <v>18.7</v>
      </c>
      <c r="E157" s="4">
        <v>188</v>
      </c>
      <c r="F157" s="4">
        <v>3525</v>
      </c>
      <c r="G157" s="4" t="s">
        <v>340</v>
      </c>
    </row>
    <row r="158" spans="1:7" x14ac:dyDescent="1.1499999999999999">
      <c r="A158" s="4" t="s">
        <v>344</v>
      </c>
      <c r="B158" s="4" t="s">
        <v>343</v>
      </c>
      <c r="C158" s="4">
        <v>52.7</v>
      </c>
      <c r="D158" s="4">
        <v>19.8</v>
      </c>
      <c r="E158" s="4">
        <v>197</v>
      </c>
      <c r="F158" s="4">
        <v>3725</v>
      </c>
      <c r="G158" s="4" t="s">
        <v>339</v>
      </c>
    </row>
    <row r="159" spans="1:7" x14ac:dyDescent="1.1499999999999999">
      <c r="A159" s="4" t="s">
        <v>344</v>
      </c>
      <c r="B159" s="4" t="s">
        <v>343</v>
      </c>
      <c r="C159" s="4">
        <v>45.2</v>
      </c>
      <c r="D159" s="4">
        <v>17.8</v>
      </c>
      <c r="E159" s="4">
        <v>198</v>
      </c>
      <c r="F159" s="4">
        <v>3950</v>
      </c>
      <c r="G159" s="4" t="s">
        <v>340</v>
      </c>
    </row>
    <row r="160" spans="1:7" x14ac:dyDescent="1.1499999999999999">
      <c r="A160" s="4" t="s">
        <v>344</v>
      </c>
      <c r="B160" s="4" t="s">
        <v>343</v>
      </c>
      <c r="C160" s="4">
        <v>46.1</v>
      </c>
      <c r="D160" s="4">
        <v>18.2</v>
      </c>
      <c r="E160" s="4">
        <v>178</v>
      </c>
      <c r="F160" s="4">
        <v>3250</v>
      </c>
      <c r="G160" s="4" t="s">
        <v>340</v>
      </c>
    </row>
    <row r="161" spans="1:7" x14ac:dyDescent="1.1499999999999999">
      <c r="A161" s="4" t="s">
        <v>344</v>
      </c>
      <c r="B161" s="4" t="s">
        <v>343</v>
      </c>
      <c r="C161" s="4">
        <v>51.3</v>
      </c>
      <c r="D161" s="4">
        <v>18.2</v>
      </c>
      <c r="E161" s="4">
        <v>197</v>
      </c>
      <c r="F161" s="4">
        <v>3750</v>
      </c>
      <c r="G161" s="4" t="s">
        <v>339</v>
      </c>
    </row>
    <row r="162" spans="1:7" x14ac:dyDescent="1.1499999999999999">
      <c r="A162" s="4" t="s">
        <v>344</v>
      </c>
      <c r="B162" s="4" t="s">
        <v>343</v>
      </c>
      <c r="C162" s="4">
        <v>46</v>
      </c>
      <c r="D162" s="4">
        <v>18.899999999999999</v>
      </c>
      <c r="E162" s="4">
        <v>195</v>
      </c>
      <c r="F162" s="4">
        <v>4150</v>
      </c>
      <c r="G162" s="4" t="s">
        <v>340</v>
      </c>
    </row>
    <row r="163" spans="1:7" x14ac:dyDescent="1.1499999999999999">
      <c r="A163" s="4" t="s">
        <v>344</v>
      </c>
      <c r="B163" s="4" t="s">
        <v>343</v>
      </c>
      <c r="C163" s="4">
        <v>51.3</v>
      </c>
      <c r="D163" s="4">
        <v>19.899999999999999</v>
      </c>
      <c r="E163" s="4">
        <v>198</v>
      </c>
      <c r="F163" s="4">
        <v>3700</v>
      </c>
      <c r="G163" s="4" t="s">
        <v>339</v>
      </c>
    </row>
    <row r="164" spans="1:7" x14ac:dyDescent="1.1499999999999999">
      <c r="A164" s="4" t="s">
        <v>344</v>
      </c>
      <c r="B164" s="4" t="s">
        <v>343</v>
      </c>
      <c r="C164" s="4">
        <v>46.6</v>
      </c>
      <c r="D164" s="4">
        <v>17.8</v>
      </c>
      <c r="E164" s="4">
        <v>193</v>
      </c>
      <c r="F164" s="4">
        <v>3800</v>
      </c>
      <c r="G164" s="4" t="s">
        <v>340</v>
      </c>
    </row>
    <row r="165" spans="1:7" x14ac:dyDescent="1.1499999999999999">
      <c r="A165" s="4" t="s">
        <v>344</v>
      </c>
      <c r="B165" s="4" t="s">
        <v>343</v>
      </c>
      <c r="C165" s="4">
        <v>51.7</v>
      </c>
      <c r="D165" s="4">
        <v>20.3</v>
      </c>
      <c r="E165" s="4">
        <v>194</v>
      </c>
      <c r="F165" s="4">
        <v>3775</v>
      </c>
      <c r="G165" s="4" t="s">
        <v>339</v>
      </c>
    </row>
    <row r="166" spans="1:7" x14ac:dyDescent="1.1499999999999999">
      <c r="A166" s="4" t="s">
        <v>344</v>
      </c>
      <c r="B166" s="4" t="s">
        <v>343</v>
      </c>
      <c r="C166" s="4">
        <v>47</v>
      </c>
      <c r="D166" s="4">
        <v>17.3</v>
      </c>
      <c r="E166" s="4">
        <v>185</v>
      </c>
      <c r="F166" s="4">
        <v>3700</v>
      </c>
      <c r="G166" s="4" t="s">
        <v>340</v>
      </c>
    </row>
    <row r="167" spans="1:7" x14ac:dyDescent="1.1499999999999999">
      <c r="A167" s="4" t="s">
        <v>344</v>
      </c>
      <c r="B167" s="4" t="s">
        <v>343</v>
      </c>
      <c r="C167" s="4">
        <v>52</v>
      </c>
      <c r="D167" s="4">
        <v>18.100000000000001</v>
      </c>
      <c r="E167" s="4">
        <v>201</v>
      </c>
      <c r="F167" s="4">
        <v>4050</v>
      </c>
      <c r="G167" s="4" t="s">
        <v>339</v>
      </c>
    </row>
    <row r="168" spans="1:7" x14ac:dyDescent="1.1499999999999999">
      <c r="A168" s="4" t="s">
        <v>344</v>
      </c>
      <c r="B168" s="4" t="s">
        <v>343</v>
      </c>
      <c r="C168" s="4">
        <v>45.9</v>
      </c>
      <c r="D168" s="4">
        <v>17.100000000000001</v>
      </c>
      <c r="E168" s="4">
        <v>190</v>
      </c>
      <c r="F168" s="4">
        <v>3575</v>
      </c>
      <c r="G168" s="4" t="s">
        <v>340</v>
      </c>
    </row>
    <row r="169" spans="1:7" x14ac:dyDescent="1.1499999999999999">
      <c r="A169" s="4" t="s">
        <v>344</v>
      </c>
      <c r="B169" s="4" t="s">
        <v>343</v>
      </c>
      <c r="C169" s="4">
        <v>50.5</v>
      </c>
      <c r="D169" s="4">
        <v>19.600000000000001</v>
      </c>
      <c r="E169" s="4">
        <v>201</v>
      </c>
      <c r="F169" s="4">
        <v>4050</v>
      </c>
      <c r="G169" s="4" t="s">
        <v>339</v>
      </c>
    </row>
    <row r="170" spans="1:7" x14ac:dyDescent="1.1499999999999999">
      <c r="A170" s="4" t="s">
        <v>344</v>
      </c>
      <c r="B170" s="4" t="s">
        <v>343</v>
      </c>
      <c r="C170" s="4">
        <v>50.3</v>
      </c>
      <c r="D170" s="4">
        <v>20</v>
      </c>
      <c r="E170" s="4">
        <v>197</v>
      </c>
      <c r="F170" s="4">
        <v>3300</v>
      </c>
      <c r="G170" s="4" t="s">
        <v>339</v>
      </c>
    </row>
    <row r="171" spans="1:7" x14ac:dyDescent="1.1499999999999999">
      <c r="A171" s="4" t="s">
        <v>344</v>
      </c>
      <c r="B171" s="4" t="s">
        <v>343</v>
      </c>
      <c r="C171" s="4">
        <v>58</v>
      </c>
      <c r="D171" s="4">
        <v>17.8</v>
      </c>
      <c r="E171" s="4">
        <v>181</v>
      </c>
      <c r="F171" s="4">
        <v>3700</v>
      </c>
      <c r="G171" s="4" t="s">
        <v>340</v>
      </c>
    </row>
    <row r="172" spans="1:7" x14ac:dyDescent="1.1499999999999999">
      <c r="A172" s="4" t="s">
        <v>344</v>
      </c>
      <c r="B172" s="4" t="s">
        <v>343</v>
      </c>
      <c r="C172" s="4">
        <v>46.4</v>
      </c>
      <c r="D172" s="4">
        <v>18.600000000000001</v>
      </c>
      <c r="E172" s="4">
        <v>190</v>
      </c>
      <c r="F172" s="4">
        <v>3450</v>
      </c>
      <c r="G172" s="4" t="s">
        <v>340</v>
      </c>
    </row>
    <row r="173" spans="1:7" x14ac:dyDescent="1.1499999999999999">
      <c r="A173" s="4" t="s">
        <v>344</v>
      </c>
      <c r="B173" s="4" t="s">
        <v>343</v>
      </c>
      <c r="C173" s="4">
        <v>49.2</v>
      </c>
      <c r="D173" s="4">
        <v>18.2</v>
      </c>
      <c r="E173" s="4">
        <v>195</v>
      </c>
      <c r="F173" s="4">
        <v>4400</v>
      </c>
      <c r="G173" s="4" t="s">
        <v>339</v>
      </c>
    </row>
    <row r="174" spans="1:7" x14ac:dyDescent="1.1499999999999999">
      <c r="A174" s="4" t="s">
        <v>344</v>
      </c>
      <c r="B174" s="4" t="s">
        <v>343</v>
      </c>
      <c r="C174" s="4">
        <v>42.4</v>
      </c>
      <c r="D174" s="4">
        <v>17.3</v>
      </c>
      <c r="E174" s="4">
        <v>181</v>
      </c>
      <c r="F174" s="4">
        <v>3600</v>
      </c>
      <c r="G174" s="4" t="s">
        <v>340</v>
      </c>
    </row>
    <row r="175" spans="1:7" x14ac:dyDescent="1.1499999999999999">
      <c r="A175" s="4" t="s">
        <v>344</v>
      </c>
      <c r="B175" s="4" t="s">
        <v>343</v>
      </c>
      <c r="C175" s="4">
        <v>48.5</v>
      </c>
      <c r="D175" s="4">
        <v>17.5</v>
      </c>
      <c r="E175" s="4">
        <v>191</v>
      </c>
      <c r="F175" s="4">
        <v>3400</v>
      </c>
      <c r="G175" s="4" t="s">
        <v>339</v>
      </c>
    </row>
    <row r="176" spans="1:7" x14ac:dyDescent="1.1499999999999999">
      <c r="A176" s="4" t="s">
        <v>344</v>
      </c>
      <c r="B176" s="4" t="s">
        <v>343</v>
      </c>
      <c r="C176" s="4">
        <v>43.2</v>
      </c>
      <c r="D176" s="4">
        <v>16.600000000000001</v>
      </c>
      <c r="E176" s="4">
        <v>187</v>
      </c>
      <c r="F176" s="4">
        <v>2900</v>
      </c>
      <c r="G176" s="4" t="s">
        <v>340</v>
      </c>
    </row>
    <row r="177" spans="1:7" x14ac:dyDescent="1.1499999999999999">
      <c r="A177" s="4" t="s">
        <v>344</v>
      </c>
      <c r="B177" s="4" t="s">
        <v>343</v>
      </c>
      <c r="C177" s="4">
        <v>50.6</v>
      </c>
      <c r="D177" s="4">
        <v>19.399999999999999</v>
      </c>
      <c r="E177" s="4">
        <v>193</v>
      </c>
      <c r="F177" s="4">
        <v>3800</v>
      </c>
      <c r="G177" s="4" t="s">
        <v>339</v>
      </c>
    </row>
    <row r="178" spans="1:7" x14ac:dyDescent="1.1499999999999999">
      <c r="A178" s="4" t="s">
        <v>344</v>
      </c>
      <c r="B178" s="4" t="s">
        <v>343</v>
      </c>
      <c r="C178" s="4">
        <v>46.7</v>
      </c>
      <c r="D178" s="4">
        <v>17.899999999999999</v>
      </c>
      <c r="E178" s="4">
        <v>195</v>
      </c>
      <c r="F178" s="4">
        <v>3300</v>
      </c>
      <c r="G178" s="4" t="s">
        <v>340</v>
      </c>
    </row>
    <row r="179" spans="1:7" x14ac:dyDescent="1.1499999999999999">
      <c r="A179" s="4" t="s">
        <v>344</v>
      </c>
      <c r="B179" s="4" t="s">
        <v>343</v>
      </c>
      <c r="C179" s="4">
        <v>52</v>
      </c>
      <c r="D179" s="4">
        <v>19</v>
      </c>
      <c r="E179" s="4">
        <v>197</v>
      </c>
      <c r="F179" s="4">
        <v>4150</v>
      </c>
      <c r="G179" s="4" t="s">
        <v>339</v>
      </c>
    </row>
    <row r="180" spans="1:7" x14ac:dyDescent="1.1499999999999999">
      <c r="A180" s="4" t="s">
        <v>344</v>
      </c>
      <c r="B180" s="4" t="s">
        <v>343</v>
      </c>
      <c r="C180" s="4">
        <v>50.5</v>
      </c>
      <c r="D180" s="4">
        <v>18.399999999999999</v>
      </c>
      <c r="E180" s="4">
        <v>200</v>
      </c>
      <c r="F180" s="4">
        <v>3400</v>
      </c>
      <c r="G180" s="4" t="s">
        <v>340</v>
      </c>
    </row>
    <row r="181" spans="1:7" x14ac:dyDescent="1.1499999999999999">
      <c r="A181" s="4" t="s">
        <v>344</v>
      </c>
      <c r="B181" s="4" t="s">
        <v>343</v>
      </c>
      <c r="C181" s="4">
        <v>49.5</v>
      </c>
      <c r="D181" s="4">
        <v>19</v>
      </c>
      <c r="E181" s="4">
        <v>200</v>
      </c>
      <c r="F181" s="4">
        <v>3800</v>
      </c>
      <c r="G181" s="4" t="s">
        <v>339</v>
      </c>
    </row>
    <row r="182" spans="1:7" x14ac:dyDescent="1.1499999999999999">
      <c r="A182" s="4" t="s">
        <v>344</v>
      </c>
      <c r="B182" s="4" t="s">
        <v>343</v>
      </c>
      <c r="C182" s="4">
        <v>46.4</v>
      </c>
      <c r="D182" s="4">
        <v>17.8</v>
      </c>
      <c r="E182" s="4">
        <v>191</v>
      </c>
      <c r="F182" s="4">
        <v>3700</v>
      </c>
      <c r="G182" s="4" t="s">
        <v>340</v>
      </c>
    </row>
    <row r="183" spans="1:7" x14ac:dyDescent="1.1499999999999999">
      <c r="A183" s="4" t="s">
        <v>344</v>
      </c>
      <c r="B183" s="4" t="s">
        <v>343</v>
      </c>
      <c r="C183" s="4">
        <v>52.8</v>
      </c>
      <c r="D183" s="4">
        <v>20</v>
      </c>
      <c r="E183" s="4">
        <v>205</v>
      </c>
      <c r="F183" s="4">
        <v>4550</v>
      </c>
      <c r="G183" s="4" t="s">
        <v>339</v>
      </c>
    </row>
    <row r="184" spans="1:7" x14ac:dyDescent="1.1499999999999999">
      <c r="A184" s="4" t="s">
        <v>344</v>
      </c>
      <c r="B184" s="4" t="s">
        <v>343</v>
      </c>
      <c r="C184" s="4">
        <v>40.9</v>
      </c>
      <c r="D184" s="4">
        <v>16.600000000000001</v>
      </c>
      <c r="E184" s="4">
        <v>187</v>
      </c>
      <c r="F184" s="4">
        <v>3200</v>
      </c>
      <c r="G184" s="4" t="s">
        <v>340</v>
      </c>
    </row>
    <row r="185" spans="1:7" x14ac:dyDescent="1.1499999999999999">
      <c r="A185" s="4" t="s">
        <v>344</v>
      </c>
      <c r="B185" s="4" t="s">
        <v>343</v>
      </c>
      <c r="C185" s="4">
        <v>54.2</v>
      </c>
      <c r="D185" s="4">
        <v>20.8</v>
      </c>
      <c r="E185" s="4">
        <v>201</v>
      </c>
      <c r="F185" s="4">
        <v>4300</v>
      </c>
      <c r="G185" s="4" t="s">
        <v>339</v>
      </c>
    </row>
    <row r="186" spans="1:7" x14ac:dyDescent="1.1499999999999999">
      <c r="A186" s="4" t="s">
        <v>344</v>
      </c>
      <c r="B186" s="4" t="s">
        <v>343</v>
      </c>
      <c r="C186" s="4">
        <v>42.5</v>
      </c>
      <c r="D186" s="4">
        <v>16.7</v>
      </c>
      <c r="E186" s="4">
        <v>187</v>
      </c>
      <c r="F186" s="4">
        <v>3350</v>
      </c>
      <c r="G186" s="4" t="s">
        <v>340</v>
      </c>
    </row>
    <row r="187" spans="1:7" x14ac:dyDescent="1.1499999999999999">
      <c r="A187" s="4" t="s">
        <v>344</v>
      </c>
      <c r="B187" s="4" t="s">
        <v>343</v>
      </c>
      <c r="C187" s="4">
        <v>51</v>
      </c>
      <c r="D187" s="4">
        <v>18.8</v>
      </c>
      <c r="E187" s="4">
        <v>203</v>
      </c>
      <c r="F187" s="4">
        <v>4100</v>
      </c>
      <c r="G187" s="4" t="s">
        <v>339</v>
      </c>
    </row>
    <row r="188" spans="1:7" x14ac:dyDescent="1.1499999999999999">
      <c r="A188" s="4" t="s">
        <v>344</v>
      </c>
      <c r="B188" s="4" t="s">
        <v>343</v>
      </c>
      <c r="C188" s="4">
        <v>49.7</v>
      </c>
      <c r="D188" s="4">
        <v>18.600000000000001</v>
      </c>
      <c r="E188" s="4">
        <v>195</v>
      </c>
      <c r="F188" s="4">
        <v>3600</v>
      </c>
      <c r="G188" s="4" t="s">
        <v>339</v>
      </c>
    </row>
    <row r="189" spans="1:7" x14ac:dyDescent="1.1499999999999999">
      <c r="A189" s="4" t="s">
        <v>344</v>
      </c>
      <c r="B189" s="4" t="s">
        <v>343</v>
      </c>
      <c r="C189" s="4">
        <v>47.5</v>
      </c>
      <c r="D189" s="4">
        <v>16.8</v>
      </c>
      <c r="E189" s="4">
        <v>199</v>
      </c>
      <c r="F189" s="4">
        <v>3900</v>
      </c>
      <c r="G189" s="4" t="s">
        <v>340</v>
      </c>
    </row>
    <row r="190" spans="1:7" x14ac:dyDescent="1.1499999999999999">
      <c r="A190" s="4" t="s">
        <v>344</v>
      </c>
      <c r="B190" s="4" t="s">
        <v>343</v>
      </c>
      <c r="C190" s="4">
        <v>47.6</v>
      </c>
      <c r="D190" s="4">
        <v>18.3</v>
      </c>
      <c r="E190" s="4">
        <v>195</v>
      </c>
      <c r="F190" s="4">
        <v>3850</v>
      </c>
      <c r="G190" s="4" t="s">
        <v>340</v>
      </c>
    </row>
    <row r="191" spans="1:7" x14ac:dyDescent="1.1499999999999999">
      <c r="A191" s="4" t="s">
        <v>344</v>
      </c>
      <c r="B191" s="4" t="s">
        <v>343</v>
      </c>
      <c r="C191" s="4">
        <v>52</v>
      </c>
      <c r="D191" s="4">
        <v>20.7</v>
      </c>
      <c r="E191" s="4">
        <v>210</v>
      </c>
      <c r="F191" s="4">
        <v>4800</v>
      </c>
      <c r="G191" s="4" t="s">
        <v>339</v>
      </c>
    </row>
    <row r="192" spans="1:7" x14ac:dyDescent="1.1499999999999999">
      <c r="A192" s="4" t="s">
        <v>344</v>
      </c>
      <c r="B192" s="4" t="s">
        <v>343</v>
      </c>
      <c r="C192" s="4">
        <v>46.9</v>
      </c>
      <c r="D192" s="4">
        <v>16.600000000000001</v>
      </c>
      <c r="E192" s="4">
        <v>192</v>
      </c>
      <c r="F192" s="4">
        <v>2700</v>
      </c>
      <c r="G192" s="4" t="s">
        <v>340</v>
      </c>
    </row>
    <row r="193" spans="1:7" x14ac:dyDescent="1.1499999999999999">
      <c r="A193" s="4" t="s">
        <v>344</v>
      </c>
      <c r="B193" s="4" t="s">
        <v>343</v>
      </c>
      <c r="C193" s="4">
        <v>53.5</v>
      </c>
      <c r="D193" s="4">
        <v>19.899999999999999</v>
      </c>
      <c r="E193" s="4">
        <v>205</v>
      </c>
      <c r="F193" s="4">
        <v>4500</v>
      </c>
      <c r="G193" s="4" t="s">
        <v>339</v>
      </c>
    </row>
    <row r="194" spans="1:7" x14ac:dyDescent="1.1499999999999999">
      <c r="A194" s="4" t="s">
        <v>344</v>
      </c>
      <c r="B194" s="4" t="s">
        <v>343</v>
      </c>
      <c r="C194" s="4">
        <v>49</v>
      </c>
      <c r="D194" s="4">
        <v>19.5</v>
      </c>
      <c r="E194" s="4">
        <v>210</v>
      </c>
      <c r="F194" s="4">
        <v>3950</v>
      </c>
      <c r="G194" s="4" t="s">
        <v>339</v>
      </c>
    </row>
    <row r="195" spans="1:7" x14ac:dyDescent="1.1499999999999999">
      <c r="A195" s="4" t="s">
        <v>344</v>
      </c>
      <c r="B195" s="4" t="s">
        <v>343</v>
      </c>
      <c r="C195" s="4">
        <v>46.2</v>
      </c>
      <c r="D195" s="4">
        <v>17.5</v>
      </c>
      <c r="E195" s="4">
        <v>187</v>
      </c>
      <c r="F195" s="4">
        <v>3650</v>
      </c>
      <c r="G195" s="4" t="s">
        <v>340</v>
      </c>
    </row>
    <row r="196" spans="1:7" x14ac:dyDescent="1.1499999999999999">
      <c r="A196" s="4" t="s">
        <v>344</v>
      </c>
      <c r="B196" s="4" t="s">
        <v>343</v>
      </c>
      <c r="C196" s="4">
        <v>50.9</v>
      </c>
      <c r="D196" s="4">
        <v>19.100000000000001</v>
      </c>
      <c r="E196" s="4">
        <v>196</v>
      </c>
      <c r="F196" s="4">
        <v>3550</v>
      </c>
      <c r="G196" s="4" t="s">
        <v>339</v>
      </c>
    </row>
    <row r="197" spans="1:7" x14ac:dyDescent="1.1499999999999999">
      <c r="A197" s="4" t="s">
        <v>344</v>
      </c>
      <c r="B197" s="4" t="s">
        <v>343</v>
      </c>
      <c r="C197" s="4">
        <v>45.5</v>
      </c>
      <c r="D197" s="4">
        <v>17</v>
      </c>
      <c r="E197" s="4">
        <v>196</v>
      </c>
      <c r="F197" s="4">
        <v>3500</v>
      </c>
      <c r="G197" s="4" t="s">
        <v>340</v>
      </c>
    </row>
    <row r="198" spans="1:7" x14ac:dyDescent="1.1499999999999999">
      <c r="A198" s="4" t="s">
        <v>344</v>
      </c>
      <c r="B198" s="4" t="s">
        <v>343</v>
      </c>
      <c r="C198" s="4">
        <v>50.9</v>
      </c>
      <c r="D198" s="4">
        <v>17.899999999999999</v>
      </c>
      <c r="E198" s="4">
        <v>196</v>
      </c>
      <c r="F198" s="4">
        <v>3675</v>
      </c>
      <c r="G198" s="4" t="s">
        <v>340</v>
      </c>
    </row>
    <row r="199" spans="1:7" x14ac:dyDescent="1.1499999999999999">
      <c r="A199" s="4" t="s">
        <v>344</v>
      </c>
      <c r="B199" s="4" t="s">
        <v>343</v>
      </c>
      <c r="C199" s="4">
        <v>50.8</v>
      </c>
      <c r="D199" s="4">
        <v>18.5</v>
      </c>
      <c r="E199" s="4">
        <v>201</v>
      </c>
      <c r="F199" s="4">
        <v>4450</v>
      </c>
      <c r="G199" s="4" t="s">
        <v>339</v>
      </c>
    </row>
    <row r="200" spans="1:7" x14ac:dyDescent="1.1499999999999999">
      <c r="A200" s="4" t="s">
        <v>344</v>
      </c>
      <c r="B200" s="4" t="s">
        <v>343</v>
      </c>
      <c r="C200" s="4">
        <v>50.1</v>
      </c>
      <c r="D200" s="4">
        <v>17.899999999999999</v>
      </c>
      <c r="E200" s="4">
        <v>190</v>
      </c>
      <c r="F200" s="4">
        <v>3400</v>
      </c>
      <c r="G200" s="4" t="s">
        <v>340</v>
      </c>
    </row>
    <row r="201" spans="1:7" x14ac:dyDescent="1.1499999999999999">
      <c r="A201" s="4" t="s">
        <v>344</v>
      </c>
      <c r="B201" s="4" t="s">
        <v>343</v>
      </c>
      <c r="C201" s="4">
        <v>49</v>
      </c>
      <c r="D201" s="4">
        <v>19.600000000000001</v>
      </c>
      <c r="E201" s="4">
        <v>212</v>
      </c>
      <c r="F201" s="4">
        <v>4300</v>
      </c>
      <c r="G201" s="4" t="s">
        <v>339</v>
      </c>
    </row>
    <row r="202" spans="1:7" x14ac:dyDescent="1.1499999999999999">
      <c r="A202" s="4" t="s">
        <v>344</v>
      </c>
      <c r="B202" s="4" t="s">
        <v>343</v>
      </c>
      <c r="C202" s="4">
        <v>51.5</v>
      </c>
      <c r="D202" s="4">
        <v>18.7</v>
      </c>
      <c r="E202" s="4">
        <v>187</v>
      </c>
      <c r="F202" s="4">
        <v>3250</v>
      </c>
      <c r="G202" s="4" t="s">
        <v>339</v>
      </c>
    </row>
    <row r="203" spans="1:7" x14ac:dyDescent="1.1499999999999999">
      <c r="A203" s="4" t="s">
        <v>344</v>
      </c>
      <c r="B203" s="4" t="s">
        <v>343</v>
      </c>
      <c r="C203" s="4">
        <v>49.8</v>
      </c>
      <c r="D203" s="4">
        <v>17.3</v>
      </c>
      <c r="E203" s="4">
        <v>198</v>
      </c>
      <c r="F203" s="4">
        <v>3675</v>
      </c>
      <c r="G203" s="4" t="s">
        <v>340</v>
      </c>
    </row>
    <row r="204" spans="1:7" x14ac:dyDescent="1.1499999999999999">
      <c r="A204" s="4" t="s">
        <v>344</v>
      </c>
      <c r="B204" s="4" t="s">
        <v>343</v>
      </c>
      <c r="C204" s="4">
        <v>48.1</v>
      </c>
      <c r="D204" s="4">
        <v>16.399999999999999</v>
      </c>
      <c r="E204" s="4">
        <v>199</v>
      </c>
      <c r="F204" s="4">
        <v>3325</v>
      </c>
      <c r="G204" s="4" t="s">
        <v>340</v>
      </c>
    </row>
    <row r="205" spans="1:7" x14ac:dyDescent="1.1499999999999999">
      <c r="A205" s="4" t="s">
        <v>344</v>
      </c>
      <c r="B205" s="4" t="s">
        <v>343</v>
      </c>
      <c r="C205" s="4">
        <v>51.4</v>
      </c>
      <c r="D205" s="4">
        <v>19</v>
      </c>
      <c r="E205" s="4">
        <v>201</v>
      </c>
      <c r="F205" s="4">
        <v>3950</v>
      </c>
      <c r="G205" s="4" t="s">
        <v>339</v>
      </c>
    </row>
    <row r="206" spans="1:7" x14ac:dyDescent="1.1499999999999999">
      <c r="A206" s="4" t="s">
        <v>344</v>
      </c>
      <c r="B206" s="4" t="s">
        <v>343</v>
      </c>
      <c r="C206" s="4">
        <v>45.7</v>
      </c>
      <c r="D206" s="4">
        <v>17.3</v>
      </c>
      <c r="E206" s="4">
        <v>193</v>
      </c>
      <c r="F206" s="4">
        <v>3600</v>
      </c>
      <c r="G206" s="4" t="s">
        <v>340</v>
      </c>
    </row>
    <row r="207" spans="1:7" x14ac:dyDescent="1.1499999999999999">
      <c r="A207" s="4" t="s">
        <v>344</v>
      </c>
      <c r="B207" s="4" t="s">
        <v>343</v>
      </c>
      <c r="C207" s="4">
        <v>50.7</v>
      </c>
      <c r="D207" s="4">
        <v>19.7</v>
      </c>
      <c r="E207" s="4">
        <v>203</v>
      </c>
      <c r="F207" s="4">
        <v>4050</v>
      </c>
      <c r="G207" s="4" t="s">
        <v>339</v>
      </c>
    </row>
    <row r="208" spans="1:7" x14ac:dyDescent="1.1499999999999999">
      <c r="A208" s="4" t="s">
        <v>344</v>
      </c>
      <c r="B208" s="4" t="s">
        <v>343</v>
      </c>
      <c r="C208" s="4">
        <v>42.5</v>
      </c>
      <c r="D208" s="4">
        <v>17.3</v>
      </c>
      <c r="E208" s="4">
        <v>187</v>
      </c>
      <c r="F208" s="4">
        <v>3350</v>
      </c>
      <c r="G208" s="4" t="s">
        <v>340</v>
      </c>
    </row>
    <row r="209" spans="1:7" x14ac:dyDescent="1.1499999999999999">
      <c r="A209" s="4" t="s">
        <v>344</v>
      </c>
      <c r="B209" s="4" t="s">
        <v>343</v>
      </c>
      <c r="C209" s="4">
        <v>52.2</v>
      </c>
      <c r="D209" s="4">
        <v>18.8</v>
      </c>
      <c r="E209" s="4">
        <v>197</v>
      </c>
      <c r="F209" s="4">
        <v>3450</v>
      </c>
      <c r="G209" s="4" t="s">
        <v>339</v>
      </c>
    </row>
    <row r="210" spans="1:7" x14ac:dyDescent="1.1499999999999999">
      <c r="A210" s="4" t="s">
        <v>344</v>
      </c>
      <c r="B210" s="4" t="s">
        <v>343</v>
      </c>
      <c r="C210" s="4">
        <v>45.2</v>
      </c>
      <c r="D210" s="4">
        <v>16.600000000000001</v>
      </c>
      <c r="E210" s="4">
        <v>191</v>
      </c>
      <c r="F210" s="4">
        <v>3250</v>
      </c>
      <c r="G210" s="4" t="s">
        <v>340</v>
      </c>
    </row>
    <row r="211" spans="1:7" x14ac:dyDescent="1.1499999999999999">
      <c r="A211" s="4" t="s">
        <v>344</v>
      </c>
      <c r="B211" s="4" t="s">
        <v>343</v>
      </c>
      <c r="C211" s="4">
        <v>49.3</v>
      </c>
      <c r="D211" s="4">
        <v>19.899999999999999</v>
      </c>
      <c r="E211" s="4">
        <v>203</v>
      </c>
      <c r="F211" s="4">
        <v>4050</v>
      </c>
      <c r="G211" s="4" t="s">
        <v>339</v>
      </c>
    </row>
    <row r="212" spans="1:7" x14ac:dyDescent="1.1499999999999999">
      <c r="A212" s="4" t="s">
        <v>344</v>
      </c>
      <c r="B212" s="4" t="s">
        <v>343</v>
      </c>
      <c r="C212" s="4">
        <v>50.2</v>
      </c>
      <c r="D212" s="4">
        <v>18.8</v>
      </c>
      <c r="E212" s="4">
        <v>202</v>
      </c>
      <c r="F212" s="4">
        <v>3800</v>
      </c>
      <c r="G212" s="4" t="s">
        <v>339</v>
      </c>
    </row>
    <row r="213" spans="1:7" x14ac:dyDescent="1.1499999999999999">
      <c r="A213" s="4" t="s">
        <v>344</v>
      </c>
      <c r="B213" s="4" t="s">
        <v>343</v>
      </c>
      <c r="C213" s="4">
        <v>45.6</v>
      </c>
      <c r="D213" s="4">
        <v>19.399999999999999</v>
      </c>
      <c r="E213" s="4">
        <v>194</v>
      </c>
      <c r="F213" s="4">
        <v>3525</v>
      </c>
      <c r="G213" s="4" t="s">
        <v>340</v>
      </c>
    </row>
    <row r="214" spans="1:7" x14ac:dyDescent="1.1499999999999999">
      <c r="A214" s="4" t="s">
        <v>344</v>
      </c>
      <c r="B214" s="4" t="s">
        <v>343</v>
      </c>
      <c r="C214" s="4">
        <v>51.9</v>
      </c>
      <c r="D214" s="4">
        <v>19.5</v>
      </c>
      <c r="E214" s="4">
        <v>206</v>
      </c>
      <c r="F214" s="4">
        <v>3950</v>
      </c>
      <c r="G214" s="4" t="s">
        <v>339</v>
      </c>
    </row>
    <row r="215" spans="1:7" x14ac:dyDescent="1.1499999999999999">
      <c r="A215" s="4" t="s">
        <v>344</v>
      </c>
      <c r="B215" s="4" t="s">
        <v>343</v>
      </c>
      <c r="C215" s="4">
        <v>46.8</v>
      </c>
      <c r="D215" s="4">
        <v>16.5</v>
      </c>
      <c r="E215" s="4">
        <v>189</v>
      </c>
      <c r="F215" s="4">
        <v>3650</v>
      </c>
      <c r="G215" s="4" t="s">
        <v>340</v>
      </c>
    </row>
    <row r="216" spans="1:7" x14ac:dyDescent="1.1499999999999999">
      <c r="A216" s="4" t="s">
        <v>344</v>
      </c>
      <c r="B216" s="4" t="s">
        <v>343</v>
      </c>
      <c r="C216" s="4">
        <v>45.7</v>
      </c>
      <c r="D216" s="4">
        <v>17</v>
      </c>
      <c r="E216" s="4">
        <v>195</v>
      </c>
      <c r="F216" s="4">
        <v>3650</v>
      </c>
      <c r="G216" s="4" t="s">
        <v>340</v>
      </c>
    </row>
    <row r="217" spans="1:7" x14ac:dyDescent="1.1499999999999999">
      <c r="A217" s="4" t="s">
        <v>344</v>
      </c>
      <c r="B217" s="4" t="s">
        <v>343</v>
      </c>
      <c r="C217" s="4">
        <v>55.8</v>
      </c>
      <c r="D217" s="4">
        <v>19.8</v>
      </c>
      <c r="E217" s="4">
        <v>207</v>
      </c>
      <c r="F217" s="4">
        <v>4000</v>
      </c>
      <c r="G217" s="4" t="s">
        <v>339</v>
      </c>
    </row>
    <row r="218" spans="1:7" x14ac:dyDescent="1.1499999999999999">
      <c r="A218" s="4" t="s">
        <v>344</v>
      </c>
      <c r="B218" s="4" t="s">
        <v>343</v>
      </c>
      <c r="C218" s="4">
        <v>43.5</v>
      </c>
      <c r="D218" s="4">
        <v>18.100000000000001</v>
      </c>
      <c r="E218" s="4">
        <v>202</v>
      </c>
      <c r="F218" s="4">
        <v>3400</v>
      </c>
      <c r="G218" s="4" t="s">
        <v>340</v>
      </c>
    </row>
    <row r="219" spans="1:7" x14ac:dyDescent="1.1499999999999999">
      <c r="A219" s="4" t="s">
        <v>344</v>
      </c>
      <c r="B219" s="4" t="s">
        <v>343</v>
      </c>
      <c r="C219" s="4">
        <v>49.6</v>
      </c>
      <c r="D219" s="4">
        <v>18.2</v>
      </c>
      <c r="E219" s="4">
        <v>193</v>
      </c>
      <c r="F219" s="4">
        <v>3775</v>
      </c>
      <c r="G219" s="4" t="s">
        <v>339</v>
      </c>
    </row>
    <row r="220" spans="1:7" x14ac:dyDescent="1.1499999999999999">
      <c r="A220" s="4" t="s">
        <v>344</v>
      </c>
      <c r="B220" s="4" t="s">
        <v>343</v>
      </c>
      <c r="C220" s="4">
        <v>50.8</v>
      </c>
      <c r="D220" s="4">
        <v>19</v>
      </c>
      <c r="E220" s="4">
        <v>210</v>
      </c>
      <c r="F220" s="4">
        <v>4100</v>
      </c>
      <c r="G220" s="4" t="s">
        <v>339</v>
      </c>
    </row>
    <row r="221" spans="1:7" x14ac:dyDescent="1.1499999999999999">
      <c r="A221" s="4" t="s">
        <v>344</v>
      </c>
      <c r="B221" s="4" t="s">
        <v>343</v>
      </c>
      <c r="C221" s="4">
        <v>50.2</v>
      </c>
      <c r="D221" s="4">
        <v>18.7</v>
      </c>
      <c r="E221" s="4">
        <v>198</v>
      </c>
      <c r="F221" s="4">
        <v>3775</v>
      </c>
      <c r="G221" s="4" t="s">
        <v>340</v>
      </c>
    </row>
    <row r="222" spans="1:7" x14ac:dyDescent="1.1499999999999999">
      <c r="A222" s="4" t="s">
        <v>345</v>
      </c>
      <c r="B222" s="4" t="s">
        <v>342</v>
      </c>
      <c r="C222" s="4">
        <v>46.1</v>
      </c>
      <c r="D222" s="4">
        <v>13.2</v>
      </c>
      <c r="E222" s="4">
        <v>211</v>
      </c>
      <c r="F222" s="4">
        <v>4500</v>
      </c>
      <c r="G222" s="4" t="s">
        <v>340</v>
      </c>
    </row>
    <row r="223" spans="1:7" x14ac:dyDescent="1.1499999999999999">
      <c r="A223" s="4" t="s">
        <v>345</v>
      </c>
      <c r="B223" s="4" t="s">
        <v>342</v>
      </c>
      <c r="C223" s="4">
        <v>50</v>
      </c>
      <c r="D223" s="4">
        <v>16.3</v>
      </c>
      <c r="E223" s="4">
        <v>230</v>
      </c>
      <c r="F223" s="4">
        <v>5700</v>
      </c>
      <c r="G223" s="4" t="s">
        <v>339</v>
      </c>
    </row>
    <row r="224" spans="1:7" x14ac:dyDescent="1.1499999999999999">
      <c r="A224" s="4" t="s">
        <v>345</v>
      </c>
      <c r="B224" s="4" t="s">
        <v>342</v>
      </c>
      <c r="C224" s="4">
        <v>48.7</v>
      </c>
      <c r="D224" s="4">
        <v>14.1</v>
      </c>
      <c r="E224" s="4">
        <v>210</v>
      </c>
      <c r="F224" s="4">
        <v>4450</v>
      </c>
      <c r="G224" s="4" t="s">
        <v>340</v>
      </c>
    </row>
    <row r="225" spans="1:7" x14ac:dyDescent="1.1499999999999999">
      <c r="A225" s="4" t="s">
        <v>345</v>
      </c>
      <c r="B225" s="4" t="s">
        <v>342</v>
      </c>
      <c r="C225" s="4">
        <v>50</v>
      </c>
      <c r="D225" s="4">
        <v>15.2</v>
      </c>
      <c r="E225" s="4">
        <v>218</v>
      </c>
      <c r="F225" s="4">
        <v>5700</v>
      </c>
      <c r="G225" s="4" t="s">
        <v>339</v>
      </c>
    </row>
    <row r="226" spans="1:7" x14ac:dyDescent="1.1499999999999999">
      <c r="A226" s="4" t="s">
        <v>345</v>
      </c>
      <c r="B226" s="4" t="s">
        <v>342</v>
      </c>
      <c r="C226" s="4">
        <v>47.6</v>
      </c>
      <c r="D226" s="4">
        <v>14.5</v>
      </c>
      <c r="E226" s="4">
        <v>215</v>
      </c>
      <c r="F226" s="4">
        <v>5400</v>
      </c>
      <c r="G226" s="4" t="s">
        <v>339</v>
      </c>
    </row>
    <row r="227" spans="1:7" x14ac:dyDescent="1.1499999999999999">
      <c r="A227" s="4" t="s">
        <v>345</v>
      </c>
      <c r="B227" s="4" t="s">
        <v>342</v>
      </c>
      <c r="C227" s="4">
        <v>46.5</v>
      </c>
      <c r="D227" s="4">
        <v>13.5</v>
      </c>
      <c r="E227" s="4">
        <v>210</v>
      </c>
      <c r="F227" s="4">
        <v>4550</v>
      </c>
      <c r="G227" s="4" t="s">
        <v>340</v>
      </c>
    </row>
    <row r="228" spans="1:7" x14ac:dyDescent="1.1499999999999999">
      <c r="A228" s="4" t="s">
        <v>345</v>
      </c>
      <c r="B228" s="4" t="s">
        <v>342</v>
      </c>
      <c r="C228" s="4">
        <v>45.4</v>
      </c>
      <c r="D228" s="4">
        <v>14.6</v>
      </c>
      <c r="E228" s="4">
        <v>211</v>
      </c>
      <c r="F228" s="4">
        <v>4800</v>
      </c>
      <c r="G228" s="4" t="s">
        <v>340</v>
      </c>
    </row>
    <row r="229" spans="1:7" x14ac:dyDescent="1.1499999999999999">
      <c r="A229" s="4" t="s">
        <v>345</v>
      </c>
      <c r="B229" s="4" t="s">
        <v>342</v>
      </c>
      <c r="C229" s="4">
        <v>46.7</v>
      </c>
      <c r="D229" s="4">
        <v>15.3</v>
      </c>
      <c r="E229" s="4">
        <v>219</v>
      </c>
      <c r="F229" s="4">
        <v>5200</v>
      </c>
      <c r="G229" s="4" t="s">
        <v>339</v>
      </c>
    </row>
    <row r="230" spans="1:7" x14ac:dyDescent="1.1499999999999999">
      <c r="A230" s="4" t="s">
        <v>345</v>
      </c>
      <c r="B230" s="4" t="s">
        <v>342</v>
      </c>
      <c r="C230" s="4">
        <v>43.3</v>
      </c>
      <c r="D230" s="4">
        <v>13.4</v>
      </c>
      <c r="E230" s="4">
        <v>209</v>
      </c>
      <c r="F230" s="4">
        <v>4400</v>
      </c>
      <c r="G230" s="4" t="s">
        <v>340</v>
      </c>
    </row>
    <row r="231" spans="1:7" x14ac:dyDescent="1.1499999999999999">
      <c r="A231" s="4" t="s">
        <v>345</v>
      </c>
      <c r="B231" s="4" t="s">
        <v>342</v>
      </c>
      <c r="C231" s="4">
        <v>46.8</v>
      </c>
      <c r="D231" s="4">
        <v>15.4</v>
      </c>
      <c r="E231" s="4">
        <v>215</v>
      </c>
      <c r="F231" s="4">
        <v>5150</v>
      </c>
      <c r="G231" s="4" t="s">
        <v>339</v>
      </c>
    </row>
    <row r="232" spans="1:7" x14ac:dyDescent="1.1499999999999999">
      <c r="A232" s="4" t="s">
        <v>345</v>
      </c>
      <c r="B232" s="4" t="s">
        <v>342</v>
      </c>
      <c r="C232" s="4">
        <v>40.9</v>
      </c>
      <c r="D232" s="4">
        <v>13.7</v>
      </c>
      <c r="E232" s="4">
        <v>214</v>
      </c>
      <c r="F232" s="4">
        <v>4650</v>
      </c>
      <c r="G232" s="4" t="s">
        <v>340</v>
      </c>
    </row>
    <row r="233" spans="1:7" x14ac:dyDescent="1.1499999999999999">
      <c r="A233" s="4" t="s">
        <v>345</v>
      </c>
      <c r="B233" s="4" t="s">
        <v>342</v>
      </c>
      <c r="C233" s="4">
        <v>49</v>
      </c>
      <c r="D233" s="4">
        <v>16.100000000000001</v>
      </c>
      <c r="E233" s="4">
        <v>216</v>
      </c>
      <c r="F233" s="4">
        <v>5550</v>
      </c>
      <c r="G233" s="4" t="s">
        <v>339</v>
      </c>
    </row>
    <row r="234" spans="1:7" x14ac:dyDescent="1.1499999999999999">
      <c r="A234" s="4" t="s">
        <v>345</v>
      </c>
      <c r="B234" s="4" t="s">
        <v>342</v>
      </c>
      <c r="C234" s="4">
        <v>45.5</v>
      </c>
      <c r="D234" s="4">
        <v>13.7</v>
      </c>
      <c r="E234" s="4">
        <v>214</v>
      </c>
      <c r="F234" s="4">
        <v>4650</v>
      </c>
      <c r="G234" s="4" t="s">
        <v>340</v>
      </c>
    </row>
    <row r="235" spans="1:7" x14ac:dyDescent="1.1499999999999999">
      <c r="A235" s="4" t="s">
        <v>345</v>
      </c>
      <c r="B235" s="4" t="s">
        <v>342</v>
      </c>
      <c r="C235" s="4">
        <v>48.4</v>
      </c>
      <c r="D235" s="4">
        <v>14.6</v>
      </c>
      <c r="E235" s="4">
        <v>213</v>
      </c>
      <c r="F235" s="4">
        <v>5850</v>
      </c>
      <c r="G235" s="4" t="s">
        <v>339</v>
      </c>
    </row>
    <row r="236" spans="1:7" x14ac:dyDescent="1.1499999999999999">
      <c r="A236" s="4" t="s">
        <v>345</v>
      </c>
      <c r="B236" s="4" t="s">
        <v>342</v>
      </c>
      <c r="C236" s="4">
        <v>45.8</v>
      </c>
      <c r="D236" s="4">
        <v>14.6</v>
      </c>
      <c r="E236" s="4">
        <v>210</v>
      </c>
      <c r="F236" s="4">
        <v>4200</v>
      </c>
      <c r="G236" s="4" t="s">
        <v>340</v>
      </c>
    </row>
    <row r="237" spans="1:7" x14ac:dyDescent="1.1499999999999999">
      <c r="A237" s="4" t="s">
        <v>345</v>
      </c>
      <c r="B237" s="4" t="s">
        <v>342</v>
      </c>
      <c r="C237" s="4">
        <v>49.3</v>
      </c>
      <c r="D237" s="4">
        <v>15.7</v>
      </c>
      <c r="E237" s="4">
        <v>217</v>
      </c>
      <c r="F237" s="4">
        <v>5850</v>
      </c>
      <c r="G237" s="4" t="s">
        <v>339</v>
      </c>
    </row>
    <row r="238" spans="1:7" x14ac:dyDescent="1.1499999999999999">
      <c r="A238" s="4" t="s">
        <v>345</v>
      </c>
      <c r="B238" s="4" t="s">
        <v>342</v>
      </c>
      <c r="C238" s="4">
        <v>42</v>
      </c>
      <c r="D238" s="4">
        <v>13.5</v>
      </c>
      <c r="E238" s="4">
        <v>210</v>
      </c>
      <c r="F238" s="4">
        <v>4150</v>
      </c>
      <c r="G238" s="4" t="s">
        <v>340</v>
      </c>
    </row>
    <row r="239" spans="1:7" x14ac:dyDescent="1.1499999999999999">
      <c r="A239" s="4" t="s">
        <v>345</v>
      </c>
      <c r="B239" s="4" t="s">
        <v>342</v>
      </c>
      <c r="C239" s="4">
        <v>49.2</v>
      </c>
      <c r="D239" s="4">
        <v>15.2</v>
      </c>
      <c r="E239" s="4">
        <v>221</v>
      </c>
      <c r="F239" s="4">
        <v>6300</v>
      </c>
      <c r="G239" s="4" t="s">
        <v>339</v>
      </c>
    </row>
    <row r="240" spans="1:7" x14ac:dyDescent="1.1499999999999999">
      <c r="A240" s="4" t="s">
        <v>345</v>
      </c>
      <c r="B240" s="4" t="s">
        <v>342</v>
      </c>
      <c r="C240" s="4">
        <v>46.2</v>
      </c>
      <c r="D240" s="4">
        <v>14.5</v>
      </c>
      <c r="E240" s="4">
        <v>209</v>
      </c>
      <c r="F240" s="4">
        <v>4800</v>
      </c>
      <c r="G240" s="4" t="s">
        <v>340</v>
      </c>
    </row>
    <row r="241" spans="1:7" x14ac:dyDescent="1.1499999999999999">
      <c r="A241" s="4" t="s">
        <v>345</v>
      </c>
      <c r="B241" s="4" t="s">
        <v>342</v>
      </c>
      <c r="C241" s="4">
        <v>48.7</v>
      </c>
      <c r="D241" s="4">
        <v>15.1</v>
      </c>
      <c r="E241" s="4">
        <v>222</v>
      </c>
      <c r="F241" s="4">
        <v>5350</v>
      </c>
      <c r="G241" s="4" t="s">
        <v>339</v>
      </c>
    </row>
    <row r="242" spans="1:7" x14ac:dyDescent="1.1499999999999999">
      <c r="A242" s="4" t="s">
        <v>345</v>
      </c>
      <c r="B242" s="4" t="s">
        <v>342</v>
      </c>
      <c r="C242" s="4">
        <v>50.2</v>
      </c>
      <c r="D242" s="4">
        <v>14.3</v>
      </c>
      <c r="E242" s="4">
        <v>218</v>
      </c>
      <c r="F242" s="4">
        <v>5700</v>
      </c>
      <c r="G242" s="4" t="s">
        <v>339</v>
      </c>
    </row>
    <row r="243" spans="1:7" x14ac:dyDescent="1.1499999999999999">
      <c r="A243" s="4" t="s">
        <v>345</v>
      </c>
      <c r="B243" s="4" t="s">
        <v>342</v>
      </c>
      <c r="C243" s="4">
        <v>45.1</v>
      </c>
      <c r="D243" s="4">
        <v>14.5</v>
      </c>
      <c r="E243" s="4">
        <v>215</v>
      </c>
      <c r="F243" s="4">
        <v>5000</v>
      </c>
      <c r="G243" s="4" t="s">
        <v>340</v>
      </c>
    </row>
    <row r="244" spans="1:7" x14ac:dyDescent="1.1499999999999999">
      <c r="A244" s="4" t="s">
        <v>345</v>
      </c>
      <c r="B244" s="4" t="s">
        <v>342</v>
      </c>
      <c r="C244" s="4">
        <v>46.5</v>
      </c>
      <c r="D244" s="4">
        <v>14.5</v>
      </c>
      <c r="E244" s="4">
        <v>213</v>
      </c>
      <c r="F244" s="4">
        <v>4400</v>
      </c>
      <c r="G244" s="4" t="s">
        <v>340</v>
      </c>
    </row>
    <row r="245" spans="1:7" x14ac:dyDescent="1.1499999999999999">
      <c r="A245" s="4" t="s">
        <v>345</v>
      </c>
      <c r="B245" s="4" t="s">
        <v>342</v>
      </c>
      <c r="C245" s="4">
        <v>46.3</v>
      </c>
      <c r="D245" s="4">
        <v>15.8</v>
      </c>
      <c r="E245" s="4">
        <v>215</v>
      </c>
      <c r="F245" s="4">
        <v>5050</v>
      </c>
      <c r="G245" s="4" t="s">
        <v>339</v>
      </c>
    </row>
    <row r="246" spans="1:7" x14ac:dyDescent="1.1499999999999999">
      <c r="A246" s="4" t="s">
        <v>345</v>
      </c>
      <c r="B246" s="4" t="s">
        <v>342</v>
      </c>
      <c r="C246" s="4">
        <v>42.9</v>
      </c>
      <c r="D246" s="4">
        <v>13.1</v>
      </c>
      <c r="E246" s="4">
        <v>215</v>
      </c>
      <c r="F246" s="4">
        <v>5000</v>
      </c>
      <c r="G246" s="4" t="s">
        <v>340</v>
      </c>
    </row>
    <row r="247" spans="1:7" x14ac:dyDescent="1.1499999999999999">
      <c r="A247" s="4" t="s">
        <v>345</v>
      </c>
      <c r="B247" s="4" t="s">
        <v>342</v>
      </c>
      <c r="C247" s="4">
        <v>46.1</v>
      </c>
      <c r="D247" s="4">
        <v>15.1</v>
      </c>
      <c r="E247" s="4">
        <v>215</v>
      </c>
      <c r="F247" s="4">
        <v>5100</v>
      </c>
      <c r="G247" s="4" t="s">
        <v>339</v>
      </c>
    </row>
    <row r="248" spans="1:7" x14ac:dyDescent="1.1499999999999999">
      <c r="A248" s="4" t="s">
        <v>345</v>
      </c>
      <c r="B248" s="4" t="s">
        <v>342</v>
      </c>
      <c r="C248" s="4">
        <v>44.5</v>
      </c>
      <c r="D248" s="4">
        <v>14.3</v>
      </c>
      <c r="E248" s="4">
        <v>216</v>
      </c>
      <c r="F248" s="4">
        <v>4100</v>
      </c>
      <c r="G248" s="4" t="s">
        <v>341</v>
      </c>
    </row>
    <row r="249" spans="1:7" x14ac:dyDescent="1.1499999999999999">
      <c r="A249" s="4" t="s">
        <v>345</v>
      </c>
      <c r="B249" s="4" t="s">
        <v>342</v>
      </c>
      <c r="C249" s="4">
        <v>47.8</v>
      </c>
      <c r="D249" s="4">
        <v>15</v>
      </c>
      <c r="E249" s="4">
        <v>215</v>
      </c>
      <c r="F249" s="4">
        <v>5650</v>
      </c>
      <c r="G249" s="4" t="s">
        <v>339</v>
      </c>
    </row>
    <row r="250" spans="1:7" x14ac:dyDescent="1.1499999999999999">
      <c r="A250" s="4" t="s">
        <v>345</v>
      </c>
      <c r="B250" s="4" t="s">
        <v>342</v>
      </c>
      <c r="C250" s="4">
        <v>48.2</v>
      </c>
      <c r="D250" s="4">
        <v>14.3</v>
      </c>
      <c r="E250" s="4">
        <v>210</v>
      </c>
      <c r="F250" s="4">
        <v>4600</v>
      </c>
      <c r="G250" s="4" t="s">
        <v>340</v>
      </c>
    </row>
    <row r="251" spans="1:7" x14ac:dyDescent="1.1499999999999999">
      <c r="A251" s="4" t="s">
        <v>345</v>
      </c>
      <c r="B251" s="4" t="s">
        <v>342</v>
      </c>
      <c r="C251" s="4">
        <v>50</v>
      </c>
      <c r="D251" s="4">
        <v>15.3</v>
      </c>
      <c r="E251" s="4">
        <v>220</v>
      </c>
      <c r="F251" s="4">
        <v>5550</v>
      </c>
      <c r="G251" s="4" t="s">
        <v>339</v>
      </c>
    </row>
    <row r="252" spans="1:7" x14ac:dyDescent="1.1499999999999999">
      <c r="A252" s="4" t="s">
        <v>345</v>
      </c>
      <c r="B252" s="4" t="s">
        <v>342</v>
      </c>
      <c r="C252" s="4">
        <v>47.3</v>
      </c>
      <c r="D252" s="4">
        <v>15.3</v>
      </c>
      <c r="E252" s="4">
        <v>222</v>
      </c>
      <c r="F252" s="4">
        <v>5250</v>
      </c>
      <c r="G252" s="4" t="s">
        <v>339</v>
      </c>
    </row>
    <row r="253" spans="1:7" x14ac:dyDescent="1.1499999999999999">
      <c r="A253" s="4" t="s">
        <v>345</v>
      </c>
      <c r="B253" s="4" t="s">
        <v>342</v>
      </c>
      <c r="C253" s="4">
        <v>42.8</v>
      </c>
      <c r="D253" s="4">
        <v>14.2</v>
      </c>
      <c r="E253" s="4">
        <v>209</v>
      </c>
      <c r="F253" s="4">
        <v>4700</v>
      </c>
      <c r="G253" s="4" t="s">
        <v>340</v>
      </c>
    </row>
    <row r="254" spans="1:7" x14ac:dyDescent="1.1499999999999999">
      <c r="A254" s="4" t="s">
        <v>345</v>
      </c>
      <c r="B254" s="4" t="s">
        <v>342</v>
      </c>
      <c r="C254" s="4">
        <v>45.1</v>
      </c>
      <c r="D254" s="4">
        <v>14.5</v>
      </c>
      <c r="E254" s="4">
        <v>207</v>
      </c>
      <c r="F254" s="4">
        <v>5050</v>
      </c>
      <c r="G254" s="4" t="s">
        <v>340</v>
      </c>
    </row>
    <row r="255" spans="1:7" x14ac:dyDescent="1.1499999999999999">
      <c r="A255" s="4" t="s">
        <v>345</v>
      </c>
      <c r="B255" s="4" t="s">
        <v>342</v>
      </c>
      <c r="C255" s="4">
        <v>59.6</v>
      </c>
      <c r="D255" s="4">
        <v>17</v>
      </c>
      <c r="E255" s="4">
        <v>230</v>
      </c>
      <c r="F255" s="4">
        <v>6050</v>
      </c>
      <c r="G255" s="4" t="s">
        <v>339</v>
      </c>
    </row>
    <row r="256" spans="1:7" x14ac:dyDescent="1.1499999999999999">
      <c r="A256" s="4" t="s">
        <v>345</v>
      </c>
      <c r="B256" s="4" t="s">
        <v>342</v>
      </c>
      <c r="C256" s="4">
        <v>49.1</v>
      </c>
      <c r="D256" s="4">
        <v>14.8</v>
      </c>
      <c r="E256" s="4">
        <v>220</v>
      </c>
      <c r="F256" s="4">
        <v>5150</v>
      </c>
      <c r="G256" s="4" t="s">
        <v>340</v>
      </c>
    </row>
    <row r="257" spans="1:7" x14ac:dyDescent="1.1499999999999999">
      <c r="A257" s="4" t="s">
        <v>345</v>
      </c>
      <c r="B257" s="4" t="s">
        <v>342</v>
      </c>
      <c r="C257" s="4">
        <v>48.4</v>
      </c>
      <c r="D257" s="4">
        <v>16.3</v>
      </c>
      <c r="E257" s="4">
        <v>220</v>
      </c>
      <c r="F257" s="4">
        <v>5400</v>
      </c>
      <c r="G257" s="4" t="s">
        <v>339</v>
      </c>
    </row>
    <row r="258" spans="1:7" x14ac:dyDescent="1.1499999999999999">
      <c r="A258" s="4" t="s">
        <v>345</v>
      </c>
      <c r="B258" s="4" t="s">
        <v>342</v>
      </c>
      <c r="C258" s="4">
        <v>42.6</v>
      </c>
      <c r="D258" s="4">
        <v>13.7</v>
      </c>
      <c r="E258" s="4">
        <v>213</v>
      </c>
      <c r="F258" s="4">
        <v>4950</v>
      </c>
      <c r="G258" s="4" t="s">
        <v>340</v>
      </c>
    </row>
    <row r="259" spans="1:7" x14ac:dyDescent="1.1499999999999999">
      <c r="A259" s="4" t="s">
        <v>345</v>
      </c>
      <c r="B259" s="4" t="s">
        <v>342</v>
      </c>
      <c r="C259" s="4">
        <v>44.4</v>
      </c>
      <c r="D259" s="4">
        <v>17.3</v>
      </c>
      <c r="E259" s="4">
        <v>219</v>
      </c>
      <c r="F259" s="4">
        <v>5250</v>
      </c>
      <c r="G259" s="4" t="s">
        <v>339</v>
      </c>
    </row>
    <row r="260" spans="1:7" x14ac:dyDescent="1.1499999999999999">
      <c r="A260" s="4" t="s">
        <v>345</v>
      </c>
      <c r="B260" s="4" t="s">
        <v>342</v>
      </c>
      <c r="C260" s="4">
        <v>44</v>
      </c>
      <c r="D260" s="4">
        <v>13.6</v>
      </c>
      <c r="E260" s="4">
        <v>208</v>
      </c>
      <c r="F260" s="4">
        <v>4350</v>
      </c>
      <c r="G260" s="4" t="s">
        <v>340</v>
      </c>
    </row>
    <row r="261" spans="1:7" x14ac:dyDescent="1.1499999999999999">
      <c r="A261" s="4" t="s">
        <v>345</v>
      </c>
      <c r="B261" s="4" t="s">
        <v>342</v>
      </c>
      <c r="C261" s="4">
        <v>48.7</v>
      </c>
      <c r="D261" s="4">
        <v>15.7</v>
      </c>
      <c r="E261" s="4">
        <v>208</v>
      </c>
      <c r="F261" s="4">
        <v>5350</v>
      </c>
      <c r="G261" s="4" t="s">
        <v>339</v>
      </c>
    </row>
    <row r="262" spans="1:7" x14ac:dyDescent="1.1499999999999999">
      <c r="A262" s="4" t="s">
        <v>345</v>
      </c>
      <c r="B262" s="4" t="s">
        <v>342</v>
      </c>
      <c r="C262" s="4">
        <v>42.7</v>
      </c>
      <c r="D262" s="4">
        <v>13.7</v>
      </c>
      <c r="E262" s="4">
        <v>208</v>
      </c>
      <c r="F262" s="4">
        <v>3950</v>
      </c>
      <c r="G262" s="4" t="s">
        <v>340</v>
      </c>
    </row>
    <row r="263" spans="1:7" x14ac:dyDescent="1.1499999999999999">
      <c r="A263" s="4" t="s">
        <v>345</v>
      </c>
      <c r="B263" s="4" t="s">
        <v>342</v>
      </c>
      <c r="C263" s="4">
        <v>49.6</v>
      </c>
      <c r="D263" s="4">
        <v>16</v>
      </c>
      <c r="E263" s="4">
        <v>225</v>
      </c>
      <c r="F263" s="4">
        <v>5700</v>
      </c>
      <c r="G263" s="4" t="s">
        <v>339</v>
      </c>
    </row>
    <row r="264" spans="1:7" x14ac:dyDescent="1.1499999999999999">
      <c r="A264" s="4" t="s">
        <v>345</v>
      </c>
      <c r="B264" s="4" t="s">
        <v>342</v>
      </c>
      <c r="C264" s="4">
        <v>45.3</v>
      </c>
      <c r="D264" s="4">
        <v>13.7</v>
      </c>
      <c r="E264" s="4">
        <v>210</v>
      </c>
      <c r="F264" s="4">
        <v>4300</v>
      </c>
      <c r="G264" s="4" t="s">
        <v>340</v>
      </c>
    </row>
    <row r="265" spans="1:7" x14ac:dyDescent="1.1499999999999999">
      <c r="A265" s="4" t="s">
        <v>345</v>
      </c>
      <c r="B265" s="4" t="s">
        <v>342</v>
      </c>
      <c r="C265" s="4">
        <v>49.6</v>
      </c>
      <c r="D265" s="4">
        <v>15</v>
      </c>
      <c r="E265" s="4">
        <v>216</v>
      </c>
      <c r="F265" s="4">
        <v>4750</v>
      </c>
      <c r="G265" s="4" t="s">
        <v>339</v>
      </c>
    </row>
    <row r="266" spans="1:7" x14ac:dyDescent="1.1499999999999999">
      <c r="A266" s="4" t="s">
        <v>345</v>
      </c>
      <c r="B266" s="4" t="s">
        <v>342</v>
      </c>
      <c r="C266" s="4">
        <v>50.5</v>
      </c>
      <c r="D266" s="4">
        <v>15.9</v>
      </c>
      <c r="E266" s="4">
        <v>222</v>
      </c>
      <c r="F266" s="4">
        <v>5550</v>
      </c>
      <c r="G266" s="4" t="s">
        <v>339</v>
      </c>
    </row>
    <row r="267" spans="1:7" x14ac:dyDescent="1.1499999999999999">
      <c r="A267" s="4" t="s">
        <v>345</v>
      </c>
      <c r="B267" s="4" t="s">
        <v>342</v>
      </c>
      <c r="C267" s="4">
        <v>43.6</v>
      </c>
      <c r="D267" s="4">
        <v>13.9</v>
      </c>
      <c r="E267" s="4">
        <v>217</v>
      </c>
      <c r="F267" s="4">
        <v>4900</v>
      </c>
      <c r="G267" s="4" t="s">
        <v>340</v>
      </c>
    </row>
    <row r="268" spans="1:7" x14ac:dyDescent="1.1499999999999999">
      <c r="A268" s="4" t="s">
        <v>345</v>
      </c>
      <c r="B268" s="4" t="s">
        <v>342</v>
      </c>
      <c r="C268" s="4">
        <v>45.5</v>
      </c>
      <c r="D268" s="4">
        <v>13.9</v>
      </c>
      <c r="E268" s="4">
        <v>210</v>
      </c>
      <c r="F268" s="4">
        <v>4200</v>
      </c>
      <c r="G268" s="4" t="s">
        <v>340</v>
      </c>
    </row>
    <row r="269" spans="1:7" x14ac:dyDescent="1.1499999999999999">
      <c r="A269" s="4" t="s">
        <v>345</v>
      </c>
      <c r="B269" s="4" t="s">
        <v>342</v>
      </c>
      <c r="C269" s="4">
        <v>50.5</v>
      </c>
      <c r="D269" s="4">
        <v>15.9</v>
      </c>
      <c r="E269" s="4">
        <v>225</v>
      </c>
      <c r="F269" s="4">
        <v>5400</v>
      </c>
      <c r="G269" s="4" t="s">
        <v>339</v>
      </c>
    </row>
    <row r="270" spans="1:7" x14ac:dyDescent="1.1499999999999999">
      <c r="A270" s="4" t="s">
        <v>345</v>
      </c>
      <c r="B270" s="4" t="s">
        <v>342</v>
      </c>
      <c r="C270" s="4">
        <v>44.9</v>
      </c>
      <c r="D270" s="4">
        <v>13.3</v>
      </c>
      <c r="E270" s="4">
        <v>213</v>
      </c>
      <c r="F270" s="4">
        <v>5100</v>
      </c>
      <c r="G270" s="4" t="s">
        <v>340</v>
      </c>
    </row>
    <row r="271" spans="1:7" x14ac:dyDescent="1.1499999999999999">
      <c r="A271" s="4" t="s">
        <v>345</v>
      </c>
      <c r="B271" s="4" t="s">
        <v>342</v>
      </c>
      <c r="C271" s="4">
        <v>45.2</v>
      </c>
      <c r="D271" s="4">
        <v>15.8</v>
      </c>
      <c r="E271" s="4">
        <v>215</v>
      </c>
      <c r="F271" s="4">
        <v>5300</v>
      </c>
      <c r="G271" s="4" t="s">
        <v>339</v>
      </c>
    </row>
    <row r="272" spans="1:7" x14ac:dyDescent="1.1499999999999999">
      <c r="A272" s="4" t="s">
        <v>345</v>
      </c>
      <c r="B272" s="4" t="s">
        <v>342</v>
      </c>
      <c r="C272" s="4">
        <v>46.6</v>
      </c>
      <c r="D272" s="4">
        <v>14.2</v>
      </c>
      <c r="E272" s="4">
        <v>210</v>
      </c>
      <c r="F272" s="4">
        <v>4850</v>
      </c>
      <c r="G272" s="4" t="s">
        <v>340</v>
      </c>
    </row>
    <row r="273" spans="1:7" x14ac:dyDescent="1.1499999999999999">
      <c r="A273" s="4" t="s">
        <v>345</v>
      </c>
      <c r="B273" s="4" t="s">
        <v>342</v>
      </c>
      <c r="C273" s="4">
        <v>48.5</v>
      </c>
      <c r="D273" s="4">
        <v>14.1</v>
      </c>
      <c r="E273" s="4">
        <v>220</v>
      </c>
      <c r="F273" s="4">
        <v>5300</v>
      </c>
      <c r="G273" s="4" t="s">
        <v>339</v>
      </c>
    </row>
    <row r="274" spans="1:7" x14ac:dyDescent="1.1499999999999999">
      <c r="A274" s="4" t="s">
        <v>345</v>
      </c>
      <c r="B274" s="4" t="s">
        <v>342</v>
      </c>
      <c r="C274" s="4">
        <v>45.1</v>
      </c>
      <c r="D274" s="4">
        <v>14.4</v>
      </c>
      <c r="E274" s="4">
        <v>210</v>
      </c>
      <c r="F274" s="4">
        <v>4400</v>
      </c>
      <c r="G274" s="4" t="s">
        <v>340</v>
      </c>
    </row>
    <row r="275" spans="1:7" x14ac:dyDescent="1.1499999999999999">
      <c r="A275" s="4" t="s">
        <v>345</v>
      </c>
      <c r="B275" s="4" t="s">
        <v>342</v>
      </c>
      <c r="C275" s="4">
        <v>50.1</v>
      </c>
      <c r="D275" s="4">
        <v>15</v>
      </c>
      <c r="E275" s="4">
        <v>225</v>
      </c>
      <c r="F275" s="4">
        <v>5000</v>
      </c>
      <c r="G275" s="4" t="s">
        <v>339</v>
      </c>
    </row>
    <row r="276" spans="1:7" x14ac:dyDescent="1.1499999999999999">
      <c r="A276" s="4" t="s">
        <v>345</v>
      </c>
      <c r="B276" s="4" t="s">
        <v>342</v>
      </c>
      <c r="C276" s="4">
        <v>46.5</v>
      </c>
      <c r="D276" s="4">
        <v>14.4</v>
      </c>
      <c r="E276" s="4">
        <v>217</v>
      </c>
      <c r="F276" s="4">
        <v>4900</v>
      </c>
      <c r="G276" s="4" t="s">
        <v>340</v>
      </c>
    </row>
    <row r="277" spans="1:7" x14ac:dyDescent="1.1499999999999999">
      <c r="A277" s="4" t="s">
        <v>345</v>
      </c>
      <c r="B277" s="4" t="s">
        <v>342</v>
      </c>
      <c r="C277" s="4">
        <v>45</v>
      </c>
      <c r="D277" s="4">
        <v>15.4</v>
      </c>
      <c r="E277" s="4">
        <v>220</v>
      </c>
      <c r="F277" s="4">
        <v>5050</v>
      </c>
      <c r="G277" s="4" t="s">
        <v>339</v>
      </c>
    </row>
    <row r="278" spans="1:7" x14ac:dyDescent="1.1499999999999999">
      <c r="A278" s="4" t="s">
        <v>345</v>
      </c>
      <c r="B278" s="4" t="s">
        <v>342</v>
      </c>
      <c r="C278" s="4">
        <v>43.8</v>
      </c>
      <c r="D278" s="4">
        <v>13.9</v>
      </c>
      <c r="E278" s="4">
        <v>208</v>
      </c>
      <c r="F278" s="4">
        <v>4300</v>
      </c>
      <c r="G278" s="4" t="s">
        <v>340</v>
      </c>
    </row>
    <row r="279" spans="1:7" x14ac:dyDescent="1.1499999999999999">
      <c r="A279" s="4" t="s">
        <v>345</v>
      </c>
      <c r="B279" s="4" t="s">
        <v>342</v>
      </c>
      <c r="C279" s="4">
        <v>45.5</v>
      </c>
      <c r="D279" s="4">
        <v>15</v>
      </c>
      <c r="E279" s="4">
        <v>220</v>
      </c>
      <c r="F279" s="4">
        <v>5000</v>
      </c>
      <c r="G279" s="4" t="s">
        <v>339</v>
      </c>
    </row>
    <row r="280" spans="1:7" x14ac:dyDescent="1.1499999999999999">
      <c r="A280" s="4" t="s">
        <v>345</v>
      </c>
      <c r="B280" s="4" t="s">
        <v>342</v>
      </c>
      <c r="C280" s="4">
        <v>43.2</v>
      </c>
      <c r="D280" s="4">
        <v>14.5</v>
      </c>
      <c r="E280" s="4">
        <v>208</v>
      </c>
      <c r="F280" s="4">
        <v>4450</v>
      </c>
      <c r="G280" s="4" t="s">
        <v>340</v>
      </c>
    </row>
    <row r="281" spans="1:7" x14ac:dyDescent="1.1499999999999999">
      <c r="A281" s="4" t="s">
        <v>345</v>
      </c>
      <c r="B281" s="4" t="s">
        <v>342</v>
      </c>
      <c r="C281" s="4">
        <v>50.4</v>
      </c>
      <c r="D281" s="4">
        <v>15.3</v>
      </c>
      <c r="E281" s="4">
        <v>224</v>
      </c>
      <c r="F281" s="4">
        <v>5550</v>
      </c>
      <c r="G281" s="4" t="s">
        <v>339</v>
      </c>
    </row>
    <row r="282" spans="1:7" x14ac:dyDescent="1.1499999999999999">
      <c r="A282" s="4" t="s">
        <v>345</v>
      </c>
      <c r="B282" s="4" t="s">
        <v>342</v>
      </c>
      <c r="C282" s="4">
        <v>45.3</v>
      </c>
      <c r="D282" s="4">
        <v>13.8</v>
      </c>
      <c r="E282" s="4">
        <v>208</v>
      </c>
      <c r="F282" s="4">
        <v>4200</v>
      </c>
      <c r="G282" s="4" t="s">
        <v>340</v>
      </c>
    </row>
    <row r="283" spans="1:7" x14ac:dyDescent="1.1499999999999999">
      <c r="A283" s="4" t="s">
        <v>345</v>
      </c>
      <c r="B283" s="4" t="s">
        <v>342</v>
      </c>
      <c r="C283" s="4">
        <v>46.2</v>
      </c>
      <c r="D283" s="4">
        <v>14.9</v>
      </c>
      <c r="E283" s="4">
        <v>221</v>
      </c>
      <c r="F283" s="4">
        <v>5300</v>
      </c>
      <c r="G283" s="4" t="s">
        <v>339</v>
      </c>
    </row>
    <row r="284" spans="1:7" x14ac:dyDescent="1.1499999999999999">
      <c r="A284" s="4" t="s">
        <v>345</v>
      </c>
      <c r="B284" s="4" t="s">
        <v>342</v>
      </c>
      <c r="C284" s="4">
        <v>45.7</v>
      </c>
      <c r="D284" s="4">
        <v>13.9</v>
      </c>
      <c r="E284" s="4">
        <v>214</v>
      </c>
      <c r="F284" s="4">
        <v>4400</v>
      </c>
      <c r="G284" s="4" t="s">
        <v>340</v>
      </c>
    </row>
    <row r="285" spans="1:7" x14ac:dyDescent="1.1499999999999999">
      <c r="A285" s="4" t="s">
        <v>345</v>
      </c>
      <c r="B285" s="4" t="s">
        <v>342</v>
      </c>
      <c r="C285" s="4">
        <v>54.3</v>
      </c>
      <c r="D285" s="4">
        <v>15.7</v>
      </c>
      <c r="E285" s="4">
        <v>231</v>
      </c>
      <c r="F285" s="4">
        <v>5650</v>
      </c>
      <c r="G285" s="4" t="s">
        <v>339</v>
      </c>
    </row>
    <row r="286" spans="1:7" x14ac:dyDescent="1.1499999999999999">
      <c r="A286" s="4" t="s">
        <v>345</v>
      </c>
      <c r="B286" s="4" t="s">
        <v>342</v>
      </c>
      <c r="C286" s="4">
        <v>45.8</v>
      </c>
      <c r="D286" s="4">
        <v>14.2</v>
      </c>
      <c r="E286" s="4">
        <v>219</v>
      </c>
      <c r="F286" s="4">
        <v>4700</v>
      </c>
      <c r="G286" s="4" t="s">
        <v>340</v>
      </c>
    </row>
    <row r="287" spans="1:7" x14ac:dyDescent="1.1499999999999999">
      <c r="A287" s="4" t="s">
        <v>345</v>
      </c>
      <c r="B287" s="4" t="s">
        <v>342</v>
      </c>
      <c r="C287" s="4">
        <v>49.8</v>
      </c>
      <c r="D287" s="4">
        <v>16.8</v>
      </c>
      <c r="E287" s="4">
        <v>230</v>
      </c>
      <c r="F287" s="4">
        <v>5700</v>
      </c>
      <c r="G287" s="4" t="s">
        <v>339</v>
      </c>
    </row>
    <row r="288" spans="1:7" x14ac:dyDescent="1.1499999999999999">
      <c r="A288" s="4" t="s">
        <v>345</v>
      </c>
      <c r="B288" s="4" t="s">
        <v>342</v>
      </c>
      <c r="C288" s="4">
        <v>46.2</v>
      </c>
      <c r="D288" s="4">
        <v>14.4</v>
      </c>
      <c r="E288" s="4">
        <v>214</v>
      </c>
      <c r="F288" s="4">
        <v>4650</v>
      </c>
      <c r="G288" s="4" t="s">
        <v>341</v>
      </c>
    </row>
    <row r="289" spans="1:7" x14ac:dyDescent="1.1499999999999999">
      <c r="A289" s="4" t="s">
        <v>345</v>
      </c>
      <c r="B289" s="4" t="s">
        <v>342</v>
      </c>
      <c r="C289" s="4">
        <v>49.5</v>
      </c>
      <c r="D289" s="4">
        <v>16.2</v>
      </c>
      <c r="E289" s="4">
        <v>229</v>
      </c>
      <c r="F289" s="4">
        <v>5800</v>
      </c>
      <c r="G289" s="4" t="s">
        <v>339</v>
      </c>
    </row>
    <row r="290" spans="1:7" x14ac:dyDescent="1.1499999999999999">
      <c r="A290" s="4" t="s">
        <v>345</v>
      </c>
      <c r="B290" s="4" t="s">
        <v>342</v>
      </c>
      <c r="C290" s="4">
        <v>43.5</v>
      </c>
      <c r="D290" s="4">
        <v>14.2</v>
      </c>
      <c r="E290" s="4">
        <v>220</v>
      </c>
      <c r="F290" s="4">
        <v>4700</v>
      </c>
      <c r="G290" s="4" t="s">
        <v>340</v>
      </c>
    </row>
    <row r="291" spans="1:7" x14ac:dyDescent="1.1499999999999999">
      <c r="A291" s="4" t="s">
        <v>345</v>
      </c>
      <c r="B291" s="4" t="s">
        <v>342</v>
      </c>
      <c r="C291" s="4">
        <v>50.7</v>
      </c>
      <c r="D291" s="4">
        <v>15</v>
      </c>
      <c r="E291" s="4">
        <v>223</v>
      </c>
      <c r="F291" s="4">
        <v>5550</v>
      </c>
      <c r="G291" s="4" t="s">
        <v>339</v>
      </c>
    </row>
    <row r="292" spans="1:7" x14ac:dyDescent="1.1499999999999999">
      <c r="A292" s="4" t="s">
        <v>345</v>
      </c>
      <c r="B292" s="4" t="s">
        <v>342</v>
      </c>
      <c r="C292" s="4">
        <v>47.7</v>
      </c>
      <c r="D292" s="4">
        <v>15</v>
      </c>
      <c r="E292" s="4">
        <v>216</v>
      </c>
      <c r="F292" s="4">
        <v>4750</v>
      </c>
      <c r="G292" s="4" t="s">
        <v>340</v>
      </c>
    </row>
    <row r="293" spans="1:7" x14ac:dyDescent="1.1499999999999999">
      <c r="A293" s="4" t="s">
        <v>345</v>
      </c>
      <c r="B293" s="4" t="s">
        <v>342</v>
      </c>
      <c r="C293" s="4">
        <v>46.4</v>
      </c>
      <c r="D293" s="4">
        <v>15.6</v>
      </c>
      <c r="E293" s="4">
        <v>221</v>
      </c>
      <c r="F293" s="4">
        <v>5000</v>
      </c>
      <c r="G293" s="4" t="s">
        <v>339</v>
      </c>
    </row>
    <row r="294" spans="1:7" x14ac:dyDescent="1.1499999999999999">
      <c r="A294" s="4" t="s">
        <v>345</v>
      </c>
      <c r="B294" s="4" t="s">
        <v>342</v>
      </c>
      <c r="C294" s="4">
        <v>48.2</v>
      </c>
      <c r="D294" s="4">
        <v>15.6</v>
      </c>
      <c r="E294" s="4">
        <v>221</v>
      </c>
      <c r="F294" s="4">
        <v>5100</v>
      </c>
      <c r="G294" s="4" t="s">
        <v>339</v>
      </c>
    </row>
    <row r="295" spans="1:7" x14ac:dyDescent="1.1499999999999999">
      <c r="A295" s="4" t="s">
        <v>345</v>
      </c>
      <c r="B295" s="4" t="s">
        <v>342</v>
      </c>
      <c r="C295" s="4">
        <v>46.5</v>
      </c>
      <c r="D295" s="4">
        <v>14.8</v>
      </c>
      <c r="E295" s="4">
        <v>217</v>
      </c>
      <c r="F295" s="4">
        <v>5200</v>
      </c>
      <c r="G295" s="4" t="s">
        <v>340</v>
      </c>
    </row>
    <row r="296" spans="1:7" x14ac:dyDescent="1.1499999999999999">
      <c r="A296" s="4" t="s">
        <v>345</v>
      </c>
      <c r="B296" s="4" t="s">
        <v>342</v>
      </c>
      <c r="C296" s="4">
        <v>46.4</v>
      </c>
      <c r="D296" s="4">
        <v>15</v>
      </c>
      <c r="E296" s="4">
        <v>216</v>
      </c>
      <c r="F296" s="4">
        <v>4700</v>
      </c>
      <c r="G296" s="4" t="s">
        <v>340</v>
      </c>
    </row>
    <row r="297" spans="1:7" x14ac:dyDescent="1.1499999999999999">
      <c r="A297" s="4" t="s">
        <v>345</v>
      </c>
      <c r="B297" s="4" t="s">
        <v>342</v>
      </c>
      <c r="C297" s="4">
        <v>48.6</v>
      </c>
      <c r="D297" s="4">
        <v>16</v>
      </c>
      <c r="E297" s="4">
        <v>230</v>
      </c>
      <c r="F297" s="4">
        <v>5800</v>
      </c>
      <c r="G297" s="4" t="s">
        <v>339</v>
      </c>
    </row>
    <row r="298" spans="1:7" x14ac:dyDescent="1.1499999999999999">
      <c r="A298" s="4" t="s">
        <v>345</v>
      </c>
      <c r="B298" s="4" t="s">
        <v>342</v>
      </c>
      <c r="C298" s="4">
        <v>47.5</v>
      </c>
      <c r="D298" s="4">
        <v>14.2</v>
      </c>
      <c r="E298" s="4">
        <v>209</v>
      </c>
      <c r="F298" s="4">
        <v>4600</v>
      </c>
      <c r="G298" s="4" t="s">
        <v>340</v>
      </c>
    </row>
    <row r="299" spans="1:7" x14ac:dyDescent="1.1499999999999999">
      <c r="A299" s="4" t="s">
        <v>345</v>
      </c>
      <c r="B299" s="4" t="s">
        <v>342</v>
      </c>
      <c r="C299" s="4">
        <v>51.1</v>
      </c>
      <c r="D299" s="4">
        <v>16.3</v>
      </c>
      <c r="E299" s="4">
        <v>220</v>
      </c>
      <c r="F299" s="4">
        <v>6000</v>
      </c>
      <c r="G299" s="4" t="s">
        <v>339</v>
      </c>
    </row>
    <row r="300" spans="1:7" x14ac:dyDescent="1.1499999999999999">
      <c r="A300" s="4" t="s">
        <v>345</v>
      </c>
      <c r="B300" s="4" t="s">
        <v>342</v>
      </c>
      <c r="C300" s="4">
        <v>45.2</v>
      </c>
      <c r="D300" s="4">
        <v>13.8</v>
      </c>
      <c r="E300" s="4">
        <v>215</v>
      </c>
      <c r="F300" s="4">
        <v>4750</v>
      </c>
      <c r="G300" s="4" t="s">
        <v>340</v>
      </c>
    </row>
    <row r="301" spans="1:7" x14ac:dyDescent="1.1499999999999999">
      <c r="A301" s="4" t="s">
        <v>345</v>
      </c>
      <c r="B301" s="4" t="s">
        <v>342</v>
      </c>
      <c r="C301" s="4">
        <v>45.2</v>
      </c>
      <c r="D301" s="4">
        <v>16.399999999999999</v>
      </c>
      <c r="E301" s="4">
        <v>223</v>
      </c>
      <c r="F301" s="4">
        <v>5950</v>
      </c>
      <c r="G301" s="4" t="s">
        <v>339</v>
      </c>
    </row>
    <row r="302" spans="1:7" x14ac:dyDescent="1.1499999999999999">
      <c r="A302" s="4" t="s">
        <v>345</v>
      </c>
      <c r="B302" s="4" t="s">
        <v>342</v>
      </c>
      <c r="C302" s="4">
        <v>49.1</v>
      </c>
      <c r="D302" s="4">
        <v>14.5</v>
      </c>
      <c r="E302" s="4">
        <v>212</v>
      </c>
      <c r="F302" s="4">
        <v>4625</v>
      </c>
      <c r="G302" s="4" t="s">
        <v>340</v>
      </c>
    </row>
    <row r="303" spans="1:7" x14ac:dyDescent="1.1499999999999999">
      <c r="A303" s="4" t="s">
        <v>345</v>
      </c>
      <c r="B303" s="4" t="s">
        <v>342</v>
      </c>
      <c r="C303" s="4">
        <v>52.5</v>
      </c>
      <c r="D303" s="4">
        <v>15.6</v>
      </c>
      <c r="E303" s="4">
        <v>221</v>
      </c>
      <c r="F303" s="4">
        <v>5450</v>
      </c>
      <c r="G303" s="4" t="s">
        <v>339</v>
      </c>
    </row>
    <row r="304" spans="1:7" x14ac:dyDescent="1.1499999999999999">
      <c r="A304" s="4" t="s">
        <v>345</v>
      </c>
      <c r="B304" s="4" t="s">
        <v>342</v>
      </c>
      <c r="C304" s="4">
        <v>47.4</v>
      </c>
      <c r="D304" s="4">
        <v>14.6</v>
      </c>
      <c r="E304" s="4">
        <v>212</v>
      </c>
      <c r="F304" s="4">
        <v>4725</v>
      </c>
      <c r="G304" s="4" t="s">
        <v>340</v>
      </c>
    </row>
    <row r="305" spans="1:7" x14ac:dyDescent="1.1499999999999999">
      <c r="A305" s="4" t="s">
        <v>345</v>
      </c>
      <c r="B305" s="4" t="s">
        <v>342</v>
      </c>
      <c r="C305" s="4">
        <v>50</v>
      </c>
      <c r="D305" s="4">
        <v>15.9</v>
      </c>
      <c r="E305" s="4">
        <v>224</v>
      </c>
      <c r="F305" s="4">
        <v>5350</v>
      </c>
      <c r="G305" s="4" t="s">
        <v>339</v>
      </c>
    </row>
    <row r="306" spans="1:7" x14ac:dyDescent="1.1499999999999999">
      <c r="A306" s="4" t="s">
        <v>345</v>
      </c>
      <c r="B306" s="4" t="s">
        <v>342</v>
      </c>
      <c r="C306" s="4">
        <v>44.9</v>
      </c>
      <c r="D306" s="4">
        <v>13.8</v>
      </c>
      <c r="E306" s="4">
        <v>212</v>
      </c>
      <c r="F306" s="4">
        <v>4750</v>
      </c>
      <c r="G306" s="4" t="s">
        <v>340</v>
      </c>
    </row>
    <row r="307" spans="1:7" x14ac:dyDescent="1.1499999999999999">
      <c r="A307" s="4" t="s">
        <v>345</v>
      </c>
      <c r="B307" s="4" t="s">
        <v>342</v>
      </c>
      <c r="C307" s="4">
        <v>50.8</v>
      </c>
      <c r="D307" s="4">
        <v>17.3</v>
      </c>
      <c r="E307" s="4">
        <v>228</v>
      </c>
      <c r="F307" s="4">
        <v>5600</v>
      </c>
      <c r="G307" s="4" t="s">
        <v>339</v>
      </c>
    </row>
    <row r="308" spans="1:7" x14ac:dyDescent="1.1499999999999999">
      <c r="A308" s="4" t="s">
        <v>345</v>
      </c>
      <c r="B308" s="4" t="s">
        <v>342</v>
      </c>
      <c r="C308" s="4">
        <v>43.4</v>
      </c>
      <c r="D308" s="4">
        <v>14.4</v>
      </c>
      <c r="E308" s="4">
        <v>218</v>
      </c>
      <c r="F308" s="4">
        <v>4600</v>
      </c>
      <c r="G308" s="4" t="s">
        <v>340</v>
      </c>
    </row>
    <row r="309" spans="1:7" x14ac:dyDescent="1.1499999999999999">
      <c r="A309" s="4" t="s">
        <v>345</v>
      </c>
      <c r="B309" s="4" t="s">
        <v>342</v>
      </c>
      <c r="C309" s="4">
        <v>51.3</v>
      </c>
      <c r="D309" s="4">
        <v>14.2</v>
      </c>
      <c r="E309" s="4">
        <v>218</v>
      </c>
      <c r="F309" s="4">
        <v>5300</v>
      </c>
      <c r="G309" s="4" t="s">
        <v>339</v>
      </c>
    </row>
    <row r="310" spans="1:7" x14ac:dyDescent="1.1499999999999999">
      <c r="A310" s="4" t="s">
        <v>345</v>
      </c>
      <c r="B310" s="4" t="s">
        <v>342</v>
      </c>
      <c r="C310" s="4">
        <v>47.5</v>
      </c>
      <c r="D310" s="4">
        <v>14</v>
      </c>
      <c r="E310" s="4">
        <v>212</v>
      </c>
      <c r="F310" s="4">
        <v>4875</v>
      </c>
      <c r="G310" s="4" t="s">
        <v>340</v>
      </c>
    </row>
    <row r="311" spans="1:7" x14ac:dyDescent="1.1499999999999999">
      <c r="A311" s="4" t="s">
        <v>345</v>
      </c>
      <c r="B311" s="4" t="s">
        <v>342</v>
      </c>
      <c r="C311" s="4">
        <v>52.1</v>
      </c>
      <c r="D311" s="4">
        <v>17</v>
      </c>
      <c r="E311" s="4">
        <v>230</v>
      </c>
      <c r="F311" s="4">
        <v>5550</v>
      </c>
      <c r="G311" s="4" t="s">
        <v>339</v>
      </c>
    </row>
    <row r="312" spans="1:7" x14ac:dyDescent="1.1499999999999999">
      <c r="A312" s="4" t="s">
        <v>345</v>
      </c>
      <c r="B312" s="4" t="s">
        <v>342</v>
      </c>
      <c r="C312" s="4">
        <v>47.5</v>
      </c>
      <c r="D312" s="4">
        <v>15</v>
      </c>
      <c r="E312" s="4">
        <v>218</v>
      </c>
      <c r="F312" s="4">
        <v>4950</v>
      </c>
      <c r="G312" s="4" t="s">
        <v>340</v>
      </c>
    </row>
    <row r="313" spans="1:7" x14ac:dyDescent="1.1499999999999999">
      <c r="A313" s="4" t="s">
        <v>345</v>
      </c>
      <c r="B313" s="4" t="s">
        <v>342</v>
      </c>
      <c r="C313" s="4">
        <v>52.2</v>
      </c>
      <c r="D313" s="4">
        <v>17.100000000000001</v>
      </c>
      <c r="E313" s="4">
        <v>228</v>
      </c>
      <c r="F313" s="4">
        <v>5400</v>
      </c>
      <c r="G313" s="4" t="s">
        <v>339</v>
      </c>
    </row>
    <row r="314" spans="1:7" x14ac:dyDescent="1.1499999999999999">
      <c r="A314" s="4" t="s">
        <v>345</v>
      </c>
      <c r="B314" s="4" t="s">
        <v>342</v>
      </c>
      <c r="C314" s="4">
        <v>45.5</v>
      </c>
      <c r="D314" s="4">
        <v>14.5</v>
      </c>
      <c r="E314" s="4">
        <v>212</v>
      </c>
      <c r="F314" s="4">
        <v>4750</v>
      </c>
      <c r="G314" s="4" t="s">
        <v>340</v>
      </c>
    </row>
    <row r="315" spans="1:7" x14ac:dyDescent="1.1499999999999999">
      <c r="A315" s="4" t="s">
        <v>345</v>
      </c>
      <c r="B315" s="4" t="s">
        <v>342</v>
      </c>
      <c r="C315" s="4">
        <v>49.5</v>
      </c>
      <c r="D315" s="4">
        <v>16.100000000000001</v>
      </c>
      <c r="E315" s="4">
        <v>224</v>
      </c>
      <c r="F315" s="4">
        <v>5650</v>
      </c>
      <c r="G315" s="4" t="s">
        <v>339</v>
      </c>
    </row>
    <row r="316" spans="1:7" x14ac:dyDescent="1.1499999999999999">
      <c r="A316" s="4" t="s">
        <v>345</v>
      </c>
      <c r="B316" s="4" t="s">
        <v>342</v>
      </c>
      <c r="C316" s="4">
        <v>44.5</v>
      </c>
      <c r="D316" s="4">
        <v>14.7</v>
      </c>
      <c r="E316" s="4">
        <v>214</v>
      </c>
      <c r="F316" s="4">
        <v>4850</v>
      </c>
      <c r="G316" s="4" t="s">
        <v>340</v>
      </c>
    </row>
    <row r="317" spans="1:7" x14ac:dyDescent="1.1499999999999999">
      <c r="A317" s="4" t="s">
        <v>345</v>
      </c>
      <c r="B317" s="4" t="s">
        <v>342</v>
      </c>
      <c r="C317" s="4">
        <v>50.8</v>
      </c>
      <c r="D317" s="4">
        <v>15.7</v>
      </c>
      <c r="E317" s="4">
        <v>226</v>
      </c>
      <c r="F317" s="4">
        <v>5200</v>
      </c>
      <c r="G317" s="4" t="s">
        <v>339</v>
      </c>
    </row>
    <row r="318" spans="1:7" x14ac:dyDescent="1.1499999999999999">
      <c r="A318" s="4" t="s">
        <v>345</v>
      </c>
      <c r="B318" s="4" t="s">
        <v>342</v>
      </c>
      <c r="C318" s="4">
        <v>49.4</v>
      </c>
      <c r="D318" s="4">
        <v>15.8</v>
      </c>
      <c r="E318" s="4">
        <v>216</v>
      </c>
      <c r="F318" s="4">
        <v>4925</v>
      </c>
      <c r="G318" s="4" t="s">
        <v>339</v>
      </c>
    </row>
    <row r="319" spans="1:7" x14ac:dyDescent="1.1499999999999999">
      <c r="A319" s="4" t="s">
        <v>345</v>
      </c>
      <c r="B319" s="4" t="s">
        <v>342</v>
      </c>
      <c r="C319" s="4">
        <v>46.9</v>
      </c>
      <c r="D319" s="4">
        <v>14.6</v>
      </c>
      <c r="E319" s="4">
        <v>222</v>
      </c>
      <c r="F319" s="4">
        <v>4875</v>
      </c>
      <c r="G319" s="4" t="s">
        <v>340</v>
      </c>
    </row>
    <row r="320" spans="1:7" x14ac:dyDescent="1.1499999999999999">
      <c r="A320" s="4" t="s">
        <v>345</v>
      </c>
      <c r="B320" s="4" t="s">
        <v>342</v>
      </c>
      <c r="C320" s="4">
        <v>48.4</v>
      </c>
      <c r="D320" s="4">
        <v>14.4</v>
      </c>
      <c r="E320" s="4">
        <v>203</v>
      </c>
      <c r="F320" s="4">
        <v>4625</v>
      </c>
      <c r="G320" s="4" t="s">
        <v>340</v>
      </c>
    </row>
    <row r="321" spans="1:7" x14ac:dyDescent="1.1499999999999999">
      <c r="A321" s="4" t="s">
        <v>345</v>
      </c>
      <c r="B321" s="4" t="s">
        <v>342</v>
      </c>
      <c r="C321" s="4">
        <v>51.1</v>
      </c>
      <c r="D321" s="4">
        <v>16.5</v>
      </c>
      <c r="E321" s="4">
        <v>225</v>
      </c>
      <c r="F321" s="4">
        <v>5250</v>
      </c>
      <c r="G321" s="4" t="s">
        <v>339</v>
      </c>
    </row>
    <row r="322" spans="1:7" x14ac:dyDescent="1.1499999999999999">
      <c r="A322" s="4" t="s">
        <v>345</v>
      </c>
      <c r="B322" s="4" t="s">
        <v>342</v>
      </c>
      <c r="C322" s="4">
        <v>48.5</v>
      </c>
      <c r="D322" s="4">
        <v>15</v>
      </c>
      <c r="E322" s="4">
        <v>219</v>
      </c>
      <c r="F322" s="4">
        <v>4850</v>
      </c>
      <c r="G322" s="4" t="s">
        <v>340</v>
      </c>
    </row>
    <row r="323" spans="1:7" x14ac:dyDescent="1.1499999999999999">
      <c r="A323" s="4" t="s">
        <v>345</v>
      </c>
      <c r="B323" s="4" t="s">
        <v>342</v>
      </c>
      <c r="C323" s="4">
        <v>55.9</v>
      </c>
      <c r="D323" s="4">
        <v>17</v>
      </c>
      <c r="E323" s="4">
        <v>228</v>
      </c>
      <c r="F323" s="4">
        <v>5600</v>
      </c>
      <c r="G323" s="4" t="s">
        <v>339</v>
      </c>
    </row>
    <row r="324" spans="1:7" x14ac:dyDescent="1.1499999999999999">
      <c r="A324" s="4" t="s">
        <v>345</v>
      </c>
      <c r="B324" s="4" t="s">
        <v>342</v>
      </c>
      <c r="C324" s="4">
        <v>47.2</v>
      </c>
      <c r="D324" s="4">
        <v>15.5</v>
      </c>
      <c r="E324" s="4">
        <v>215</v>
      </c>
      <c r="F324" s="4">
        <v>4975</v>
      </c>
      <c r="G324" s="4" t="s">
        <v>340</v>
      </c>
    </row>
    <row r="325" spans="1:7" x14ac:dyDescent="1.1499999999999999">
      <c r="A325" s="4" t="s">
        <v>345</v>
      </c>
      <c r="B325" s="4" t="s">
        <v>342</v>
      </c>
      <c r="C325" s="4">
        <v>49.1</v>
      </c>
      <c r="D325" s="4">
        <v>15</v>
      </c>
      <c r="E325" s="4">
        <v>228</v>
      </c>
      <c r="F325" s="4">
        <v>5500</v>
      </c>
      <c r="G325" s="4" t="s">
        <v>339</v>
      </c>
    </row>
    <row r="326" spans="1:7" x14ac:dyDescent="1.1499999999999999">
      <c r="A326" s="4" t="s">
        <v>345</v>
      </c>
      <c r="B326" s="4" t="s">
        <v>342</v>
      </c>
      <c r="C326" s="4">
        <v>47.3</v>
      </c>
      <c r="D326" s="4">
        <v>13.8</v>
      </c>
      <c r="E326" s="4">
        <v>216</v>
      </c>
      <c r="F326" s="4">
        <v>4725</v>
      </c>
      <c r="G326" s="4" t="s">
        <v>341</v>
      </c>
    </row>
    <row r="327" spans="1:7" x14ac:dyDescent="1.1499999999999999">
      <c r="A327" s="4" t="s">
        <v>345</v>
      </c>
      <c r="B327" s="4" t="s">
        <v>342</v>
      </c>
      <c r="C327" s="4">
        <v>46.8</v>
      </c>
      <c r="D327" s="4">
        <v>16.100000000000001</v>
      </c>
      <c r="E327" s="4">
        <v>215</v>
      </c>
      <c r="F327" s="4">
        <v>5500</v>
      </c>
      <c r="G327" s="4" t="s">
        <v>339</v>
      </c>
    </row>
    <row r="328" spans="1:7" x14ac:dyDescent="1.1499999999999999">
      <c r="A328" s="4" t="s">
        <v>345</v>
      </c>
      <c r="B328" s="4" t="s">
        <v>342</v>
      </c>
      <c r="C328" s="4">
        <v>41.7</v>
      </c>
      <c r="D328" s="4">
        <v>14.7</v>
      </c>
      <c r="E328" s="4">
        <v>210</v>
      </c>
      <c r="F328" s="4">
        <v>4700</v>
      </c>
      <c r="G328" s="4" t="s">
        <v>340</v>
      </c>
    </row>
    <row r="329" spans="1:7" x14ac:dyDescent="1.1499999999999999">
      <c r="A329" s="4" t="s">
        <v>345</v>
      </c>
      <c r="B329" s="4" t="s">
        <v>342</v>
      </c>
      <c r="C329" s="4">
        <v>53.4</v>
      </c>
      <c r="D329" s="4">
        <v>15.8</v>
      </c>
      <c r="E329" s="4">
        <v>219</v>
      </c>
      <c r="F329" s="4">
        <v>5500</v>
      </c>
      <c r="G329" s="4" t="s">
        <v>339</v>
      </c>
    </row>
    <row r="330" spans="1:7" x14ac:dyDescent="1.1499999999999999">
      <c r="A330" s="4" t="s">
        <v>345</v>
      </c>
      <c r="B330" s="4" t="s">
        <v>342</v>
      </c>
      <c r="C330" s="4">
        <v>43.3</v>
      </c>
      <c r="D330" s="4">
        <v>14</v>
      </c>
      <c r="E330" s="4">
        <v>208</v>
      </c>
      <c r="F330" s="4">
        <v>4575</v>
      </c>
      <c r="G330" s="4" t="s">
        <v>340</v>
      </c>
    </row>
    <row r="331" spans="1:7" x14ac:dyDescent="1.1499999999999999">
      <c r="A331" s="4" t="s">
        <v>345</v>
      </c>
      <c r="B331" s="4" t="s">
        <v>342</v>
      </c>
      <c r="C331" s="4">
        <v>48.1</v>
      </c>
      <c r="D331" s="4">
        <v>15.1</v>
      </c>
      <c r="E331" s="4">
        <v>209</v>
      </c>
      <c r="F331" s="4">
        <v>5500</v>
      </c>
      <c r="G331" s="4" t="s">
        <v>339</v>
      </c>
    </row>
    <row r="332" spans="1:7" x14ac:dyDescent="1.1499999999999999">
      <c r="A332" s="4" t="s">
        <v>345</v>
      </c>
      <c r="B332" s="4" t="s">
        <v>342</v>
      </c>
      <c r="C332" s="4">
        <v>50.5</v>
      </c>
      <c r="D332" s="4">
        <v>15.2</v>
      </c>
      <c r="E332" s="4">
        <v>216</v>
      </c>
      <c r="F332" s="4">
        <v>5000</v>
      </c>
      <c r="G332" s="4" t="s">
        <v>340</v>
      </c>
    </row>
    <row r="333" spans="1:7" x14ac:dyDescent="1.1499999999999999">
      <c r="A333" s="4" t="s">
        <v>345</v>
      </c>
      <c r="B333" s="4" t="s">
        <v>342</v>
      </c>
      <c r="C333" s="4">
        <v>49.8</v>
      </c>
      <c r="D333" s="4">
        <v>15.9</v>
      </c>
      <c r="E333" s="4">
        <v>229</v>
      </c>
      <c r="F333" s="4">
        <v>5950</v>
      </c>
      <c r="G333" s="4" t="s">
        <v>339</v>
      </c>
    </row>
    <row r="334" spans="1:7" x14ac:dyDescent="1.1499999999999999">
      <c r="A334" s="4" t="s">
        <v>345</v>
      </c>
      <c r="B334" s="4" t="s">
        <v>342</v>
      </c>
      <c r="C334" s="4">
        <v>43.5</v>
      </c>
      <c r="D334" s="4">
        <v>15.2</v>
      </c>
      <c r="E334" s="4">
        <v>213</v>
      </c>
      <c r="F334" s="4">
        <v>4650</v>
      </c>
      <c r="G334" s="4" t="s">
        <v>340</v>
      </c>
    </row>
    <row r="335" spans="1:7" x14ac:dyDescent="1.1499999999999999">
      <c r="A335" s="4" t="s">
        <v>345</v>
      </c>
      <c r="B335" s="4" t="s">
        <v>342</v>
      </c>
      <c r="C335" s="4">
        <v>51.5</v>
      </c>
      <c r="D335" s="4">
        <v>16.3</v>
      </c>
      <c r="E335" s="4">
        <v>230</v>
      </c>
      <c r="F335" s="4">
        <v>5500</v>
      </c>
      <c r="G335" s="4" t="s">
        <v>339</v>
      </c>
    </row>
    <row r="336" spans="1:7" x14ac:dyDescent="1.1499999999999999">
      <c r="A336" s="4" t="s">
        <v>345</v>
      </c>
      <c r="B336" s="4" t="s">
        <v>342</v>
      </c>
      <c r="C336" s="4">
        <v>46.2</v>
      </c>
      <c r="D336" s="4">
        <v>14.1</v>
      </c>
      <c r="E336" s="4">
        <v>217</v>
      </c>
      <c r="F336" s="4">
        <v>4375</v>
      </c>
      <c r="G336" s="4" t="s">
        <v>340</v>
      </c>
    </row>
    <row r="337" spans="1:7" x14ac:dyDescent="1.1499999999999999">
      <c r="A337" s="4" t="s">
        <v>345</v>
      </c>
      <c r="B337" s="4" t="s">
        <v>342</v>
      </c>
      <c r="C337" s="4">
        <v>55.1</v>
      </c>
      <c r="D337" s="4">
        <v>16</v>
      </c>
      <c r="E337" s="4">
        <v>230</v>
      </c>
      <c r="F337" s="4">
        <v>5850</v>
      </c>
      <c r="G337" s="4" t="s">
        <v>339</v>
      </c>
    </row>
    <row r="338" spans="1:7" x14ac:dyDescent="1.1499999999999999">
      <c r="A338" s="4" t="s">
        <v>345</v>
      </c>
      <c r="B338" s="4" t="s">
        <v>342</v>
      </c>
      <c r="C338" s="4">
        <v>44.5</v>
      </c>
      <c r="D338" s="4">
        <v>15.7</v>
      </c>
      <c r="E338" s="4">
        <v>217</v>
      </c>
      <c r="F338" s="4">
        <v>4875</v>
      </c>
      <c r="G338" s="4" t="s">
        <v>341</v>
      </c>
    </row>
    <row r="339" spans="1:7" x14ac:dyDescent="1.1499999999999999">
      <c r="A339" s="4" t="s">
        <v>345</v>
      </c>
      <c r="B339" s="4" t="s">
        <v>342</v>
      </c>
      <c r="C339" s="4">
        <v>48.8</v>
      </c>
      <c r="D339" s="4">
        <v>16.2</v>
      </c>
      <c r="E339" s="4">
        <v>222</v>
      </c>
      <c r="F339" s="4">
        <v>6000</v>
      </c>
      <c r="G339" s="4" t="s">
        <v>339</v>
      </c>
    </row>
    <row r="340" spans="1:7" x14ac:dyDescent="1.1499999999999999">
      <c r="A340" s="4" t="s">
        <v>345</v>
      </c>
      <c r="B340" s="4" t="s">
        <v>342</v>
      </c>
      <c r="C340" s="4">
        <v>47.2</v>
      </c>
      <c r="D340" s="4">
        <v>13.7</v>
      </c>
      <c r="E340" s="4">
        <v>214</v>
      </c>
      <c r="F340" s="4">
        <v>4925</v>
      </c>
      <c r="G340" s="4" t="s">
        <v>340</v>
      </c>
    </row>
    <row r="341" spans="1:7" x14ac:dyDescent="1.1499999999999999">
      <c r="A341" s="4" t="s">
        <v>345</v>
      </c>
      <c r="B341" s="4" t="s">
        <v>342</v>
      </c>
      <c r="G341" s="4" t="s">
        <v>341</v>
      </c>
    </row>
    <row r="342" spans="1:7" x14ac:dyDescent="1.1499999999999999">
      <c r="A342" s="4" t="s">
        <v>345</v>
      </c>
      <c r="B342" s="4" t="s">
        <v>342</v>
      </c>
      <c r="C342" s="4">
        <v>46.8</v>
      </c>
      <c r="D342" s="4">
        <v>14.3</v>
      </c>
      <c r="E342" s="4">
        <v>215</v>
      </c>
      <c r="F342" s="4">
        <v>4850</v>
      </c>
      <c r="G342" s="4" t="s">
        <v>340</v>
      </c>
    </row>
    <row r="343" spans="1:7" x14ac:dyDescent="1.1499999999999999">
      <c r="A343" s="4" t="s">
        <v>345</v>
      </c>
      <c r="B343" s="4" t="s">
        <v>342</v>
      </c>
      <c r="C343" s="4">
        <v>50.4</v>
      </c>
      <c r="D343" s="4">
        <v>15.7</v>
      </c>
      <c r="E343" s="4">
        <v>222</v>
      </c>
      <c r="F343" s="4">
        <v>5750</v>
      </c>
      <c r="G343" s="4" t="s">
        <v>339</v>
      </c>
    </row>
    <row r="344" spans="1:7" x14ac:dyDescent="1.1499999999999999">
      <c r="A344" s="4" t="s">
        <v>345</v>
      </c>
      <c r="B344" s="4" t="s">
        <v>342</v>
      </c>
      <c r="C344" s="4">
        <v>45.2</v>
      </c>
      <c r="D344" s="4">
        <v>14.8</v>
      </c>
      <c r="E344" s="4">
        <v>212</v>
      </c>
      <c r="F344" s="4">
        <v>5200</v>
      </c>
      <c r="G344" s="4" t="s">
        <v>340</v>
      </c>
    </row>
    <row r="345" spans="1:7" x14ac:dyDescent="1.1499999999999999">
      <c r="A345" s="4" t="s">
        <v>345</v>
      </c>
      <c r="B345" s="4" t="s">
        <v>342</v>
      </c>
      <c r="C345" s="4">
        <v>49.9</v>
      </c>
      <c r="D345" s="4">
        <v>16.100000000000001</v>
      </c>
      <c r="E345" s="4">
        <v>213</v>
      </c>
      <c r="F345" s="4">
        <v>5400</v>
      </c>
      <c r="G345" s="4" t="s">
        <v>339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e3aeb7-4d0f-4a33-8841-3d6184eb852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5C647833039340B4008C94FEE86291" ma:contentTypeVersion="18" ma:contentTypeDescription="Create a new document." ma:contentTypeScope="" ma:versionID="d66ed84012b24a4c1ddb205c71c241b9">
  <xsd:schema xmlns:xsd="http://www.w3.org/2001/XMLSchema" xmlns:xs="http://www.w3.org/2001/XMLSchema" xmlns:p="http://schemas.microsoft.com/office/2006/metadata/properties" xmlns:ns3="37e3aeb7-4d0f-4a33-8841-3d6184eb8527" xmlns:ns4="61b8e4de-3d2d-450c-a930-5dd93a52fde9" targetNamespace="http://schemas.microsoft.com/office/2006/metadata/properties" ma:root="true" ma:fieldsID="451740186a4cde1b8a6c444f751beb1b" ns3:_="" ns4:_="">
    <xsd:import namespace="37e3aeb7-4d0f-4a33-8841-3d6184eb8527"/>
    <xsd:import namespace="61b8e4de-3d2d-450c-a930-5dd93a52fde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3aeb7-4d0f-4a33-8841-3d6184eb85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8e4de-3d2d-450c-a930-5dd93a52f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F8E99D-5F8A-491F-B0EE-854194F77762}">
  <ds:schemaRefs>
    <ds:schemaRef ds:uri="37e3aeb7-4d0f-4a33-8841-3d6184eb8527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61b8e4de-3d2d-450c-a930-5dd93a52fde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DD7994C-05CF-44D9-9CC3-522CCFB6C5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2F2E91-4D43-4258-B561-CD3553288B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e3aeb7-4d0f-4a33-8841-3d6184eb8527"/>
    <ds:schemaRef ds:uri="61b8e4de-3d2d-450c-a930-5dd93a52fd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mpg</vt:lpstr>
      <vt:lpstr>Analysis1</vt:lpstr>
      <vt:lpstr>penguins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2025-11-23T22:23:20Z</dcterms:created>
  <dcterms:modified xsi:type="dcterms:W3CDTF">2025-12-16T01:29:23Z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0x010100255C647833039340B4008C94FEE86291</vt:lpwstr>
  </property>
</Properties>
</file>