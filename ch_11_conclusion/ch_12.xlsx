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12-conclusion\"/>
    </mc:Choice>
  </mc:AlternateContent>
  <xr:revisionPtr revIDLastSave="0" documentId="8_{97A3A7AE-9BF9-4D1C-8C54-4C551A90600F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Loan Calculator" sheetId="10" r:id="rId1"/>
    <sheet name="Budget vs Actuals" sheetId="2" r:id="rId2"/>
    <sheet name="Financial Close" sheetId="4" r:id="rId3"/>
  </sheets>
  <definedNames>
    <definedName name="BS_TotalAssets_Current">#REF!</definedName>
    <definedName name="BS_TotalAssets_Prior">#REF!</definedName>
    <definedName name="BS_TotalEquity_Current">#REF!</definedName>
    <definedName name="BS_TotalEquity_Prior">#REF!</definedName>
    <definedName name="BS_TotalLiab_Current">#REF!</definedName>
    <definedName name="BS_TotalLiab_Prior">#REF!</definedName>
    <definedName name="PL_GrossProfit_Current">#REF!</definedName>
    <definedName name="PL_GrossProfit_Prior">#REF!</definedName>
    <definedName name="PL_NetIncome_Current">#REF!</definedName>
    <definedName name="PL_NetIncome_Prior">#REF!</definedName>
    <definedName name="PL_OperatingIncome_Current">#REF!</definedName>
    <definedName name="PL_OperatingIncome_Prior">#REF!</definedName>
    <definedName name="PL_TotalRevenue_Current">#REF!</definedName>
    <definedName name="PL_TotalRevenue_Prio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 s="1"/>
  <c r="E3" i="2"/>
  <c r="F3" i="2" s="1"/>
  <c r="E4" i="2"/>
  <c r="F4" i="2" s="1"/>
  <c r="E5" i="2"/>
  <c r="F5" i="2" s="1"/>
  <c r="E6" i="2"/>
  <c r="F6" i="2" s="1"/>
  <c r="E7" i="2"/>
  <c r="F7" i="2" s="1"/>
</calcChain>
</file>

<file path=xl/sharedStrings.xml><?xml version="1.0" encoding="utf-8"?>
<sst xmlns="http://schemas.openxmlformats.org/spreadsheetml/2006/main" count="41" uniqueCount="23">
  <si>
    <t>Month</t>
  </si>
  <si>
    <t>Department</t>
  </si>
  <si>
    <t>Budget</t>
  </si>
  <si>
    <t>Actual</t>
  </si>
  <si>
    <t>Variance $</t>
  </si>
  <si>
    <t>Variance %</t>
  </si>
  <si>
    <t>Sales</t>
  </si>
  <si>
    <t>Marketing</t>
  </si>
  <si>
    <t>Operations</t>
  </si>
  <si>
    <t>AccountNumber</t>
  </si>
  <si>
    <t>AccountName</t>
  </si>
  <si>
    <t>AccountType</t>
  </si>
  <si>
    <t>Amount</t>
  </si>
  <si>
    <t>Sales Revenue</t>
  </si>
  <si>
    <t>Revenue</t>
  </si>
  <si>
    <t>Cost of Goods Sold</t>
  </si>
  <si>
    <t>Expense</t>
  </si>
  <si>
    <t>Operating Expenses</t>
  </si>
  <si>
    <t>Cash</t>
  </si>
  <si>
    <t>Asset</t>
  </si>
  <si>
    <t>Accounts Payable</t>
  </si>
  <si>
    <t>Liability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</si>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</sst>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" fontId="0" fillId="0" borderId="0" xfId="0" applyNumberFormat="1"/>
  </cellXfs>
  <cellStyles count="1">
    <cellStyle name="Normal" xfId="0" builtinId="0"/>
  </cellStyles>
  <dxfs count="6"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49EC8-4260-4A7F-857E-E1A28B73303F}" name="budget_vs_actuals" displayName="budget_vs_actuals" ref="A1:F7" totalsRowShown="0" headerRowDxfId="5">
  <autoFilter ref="A1:F7" xr:uid="{22F49EC8-4260-4A7F-857E-E1A28B73303F}"/>
  <tableColumns count="6">
    <tableColumn id="1" xr3:uid="{E4660A6C-7ADE-4FA6-A859-79F54CD41E2B}" name="Department"/>
    <tableColumn id="2" xr3:uid="{5594B8DA-C799-4EF5-BB0C-12408BA9E465}" name="Month" dataDxfId="4"/>
    <tableColumn id="3" xr3:uid="{2A6AF675-C366-4564-B59F-1D2D0F3258AC}" name="Budget"/>
    <tableColumn id="4" xr3:uid="{CF8B3F12-644F-4722-964B-F0ACF3E8FCCB}" name="Actual"/>
    <tableColumn id="5" xr3:uid="{F2D098F4-E6ED-4939-AC6D-167BD77F775B}" name="Variance $" dataDxfId="3">
      <calculatedColumnFormula>budget_vs_actuals[[#This Row],[Actual]]-budget_vs_actuals[[#This Row],[Budget]]</calculatedColumnFormula>
    </tableColumn>
    <tableColumn id="6" xr3:uid="{81219848-3002-4ECF-945B-2B012F26EDC7}" name="Variance %" dataDxfId="2">
      <calculatedColumnFormula>IFERROR(budget_vs_actuals[[#This Row],[Variance $]]/budget_vs_actuals[[#This Row],[Budget]],0)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7FB36-980F-44AA-8643-991C8F6FD3E4}" name="financial_close" displayName="financial_close" ref="A1:E13" totalsRowShown="0" headerRowDxfId="1">
  <autoFilter ref="A1:E13" xr:uid="{1917FB36-980F-44AA-8643-991C8F6FD3E4}"/>
  <tableColumns count="5">
    <tableColumn id="1" xr3:uid="{C8C9EA7F-4BAE-426F-B97A-597E714D49B9}" name="AccountNumber"/>
    <tableColumn id="2" xr3:uid="{84C87056-25DE-4A94-945B-682DE5ADD1A5}" name="AccountName"/>
    <tableColumn id="3" xr3:uid="{F257F0BB-55D5-4331-9131-E7BC6CC2586F}" name="AccountType"/>
    <tableColumn id="4" xr3:uid="{C7E01E94-1F35-4D5D-8595-16E532CA33C7}" name="Month" dataDxfId="0"/>
    <tableColumn id="5" xr3:uid="{886FA901-B78E-4481-9E32-3E7E5B046231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6">
    <wetp:webextensionref xmlns:r="http://schemas.openxmlformats.org/officeDocument/2006/relationships" r:id="rId1"/>
  </wetp:taskpane>
  <wetp:taskpane dockstate="right" visibility="0" width="78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D27CEE0-E015-4321-8B5B-432EEE0F525C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72D1F4E-05C1-4C00-9F30-87ADD9858606}">
  <we:reference id="WA200003537" version="1.3.0.0" store="Omex" storeType="OMEX"/>
  <we:alternateReferences>
    <we:reference id="WA200003537" version="1.3.0.0" store="WA20000353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51C4-805E-4E0F-BF03-A869892B3D22}">
  <dimension ref="A1"/>
  <sheetViews>
    <sheetView tabSelected="1" workbookViewId="0">
      <selection activeCell="L10" sqref="L10"/>
    </sheetView>
  </sheetViews>
  <sheetFormatPr defaultRowHeight="14.35" x14ac:dyDescent="0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53A1-203E-4FEE-9C4F-D6B95FADF00F}">
  <dimension ref="A1:F7"/>
  <sheetViews>
    <sheetView workbookViewId="0">
      <selection activeCell="E5" sqref="E5"/>
    </sheetView>
  </sheetViews>
  <sheetFormatPr defaultRowHeight="14.35" x14ac:dyDescent="0.5"/>
  <cols>
    <col min="1" max="1" width="14.1171875" bestFit="1" customWidth="1"/>
    <col min="2" max="2" width="9" bestFit="1" customWidth="1"/>
    <col min="3" max="3" width="9.5859375" bestFit="1" customWidth="1"/>
    <col min="4" max="4" width="9.1171875" bestFit="1" customWidth="1"/>
    <col min="5" max="5" width="12.703125" bestFit="1" customWidth="1"/>
    <col min="6" max="6" width="13.29296875" bestFit="1" customWidth="1"/>
  </cols>
  <sheetData>
    <row r="1" spans="1:6" x14ac:dyDescent="0.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5">
      <c r="A2" t="s">
        <v>6</v>
      </c>
      <c r="B2" s="2">
        <v>45658</v>
      </c>
      <c r="C2">
        <v>50000</v>
      </c>
      <c r="D2">
        <v>52000</v>
      </c>
      <c r="E2" s="3">
        <f>budget_vs_actuals[[#This Row],[Actual]]-budget_vs_actuals[[#This Row],[Budget]]</f>
        <v>2000</v>
      </c>
      <c r="F2" s="4">
        <f>IFERROR(budget_vs_actuals[[#This Row],[Variance $]]/budget_vs_actuals[[#This Row],[Budget]],0)</f>
        <v>0.04</v>
      </c>
    </row>
    <row r="3" spans="1:6" x14ac:dyDescent="0.5">
      <c r="A3" t="s">
        <v>6</v>
      </c>
      <c r="B3" s="2">
        <v>45689</v>
      </c>
      <c r="C3">
        <v>48000</v>
      </c>
      <c r="D3">
        <v>47000</v>
      </c>
      <c r="E3" s="3">
        <f>budget_vs_actuals[[#This Row],[Actual]]-budget_vs_actuals[[#This Row],[Budget]]</f>
        <v>-1000</v>
      </c>
      <c r="F3" s="4">
        <f>IFERROR(budget_vs_actuals[[#This Row],[Variance $]]/budget_vs_actuals[[#This Row],[Budget]],0)</f>
        <v>-2.0833333333333332E-2</v>
      </c>
    </row>
    <row r="4" spans="1:6" x14ac:dyDescent="0.5">
      <c r="A4" t="s">
        <v>7</v>
      </c>
      <c r="B4" s="2">
        <v>45658</v>
      </c>
      <c r="C4">
        <v>30000</v>
      </c>
      <c r="D4">
        <v>35000</v>
      </c>
      <c r="E4" s="3">
        <f>budget_vs_actuals[[#This Row],[Actual]]-budget_vs_actuals[[#This Row],[Budget]]</f>
        <v>5000</v>
      </c>
      <c r="F4" s="4">
        <f>IFERROR(budget_vs_actuals[[#This Row],[Variance $]]/budget_vs_actuals[[#This Row],[Budget]],0)</f>
        <v>0.16666666666666666</v>
      </c>
    </row>
    <row r="5" spans="1:6" x14ac:dyDescent="0.5">
      <c r="A5" t="s">
        <v>7</v>
      </c>
      <c r="B5" s="2">
        <v>45689</v>
      </c>
      <c r="C5">
        <v>32000</v>
      </c>
      <c r="D5">
        <v>31000</v>
      </c>
      <c r="E5" s="3">
        <f>budget_vs_actuals[[#This Row],[Actual]]-budget_vs_actuals[[#This Row],[Budget]]</f>
        <v>-1000</v>
      </c>
      <c r="F5" s="4">
        <f>IFERROR(budget_vs_actuals[[#This Row],[Variance $]]/budget_vs_actuals[[#This Row],[Budget]],0)</f>
        <v>-3.125E-2</v>
      </c>
    </row>
    <row r="6" spans="1:6" x14ac:dyDescent="0.5">
      <c r="A6" t="s">
        <v>8</v>
      </c>
      <c r="B6" s="2">
        <v>45658</v>
      </c>
      <c r="C6">
        <v>40000</v>
      </c>
      <c r="D6">
        <v>39500</v>
      </c>
      <c r="E6" s="3">
        <f>budget_vs_actuals[[#This Row],[Actual]]-budget_vs_actuals[[#This Row],[Budget]]</f>
        <v>-500</v>
      </c>
      <c r="F6" s="4">
        <f>IFERROR(budget_vs_actuals[[#This Row],[Variance $]]/budget_vs_actuals[[#This Row],[Budget]],0)</f>
        <v>-1.2500000000000001E-2</v>
      </c>
    </row>
    <row r="7" spans="1:6" x14ac:dyDescent="0.5">
      <c r="A7" t="s">
        <v>8</v>
      </c>
      <c r="B7" s="2">
        <v>45689</v>
      </c>
      <c r="C7">
        <v>41000</v>
      </c>
      <c r="D7">
        <v>43000</v>
      </c>
      <c r="E7" s="3">
        <f>budget_vs_actuals[[#This Row],[Actual]]-budget_vs_actuals[[#This Row],[Budget]]</f>
        <v>2000</v>
      </c>
      <c r="F7" s="4">
        <f>IFERROR(budget_vs_actuals[[#This Row],[Variance $]]/budget_vs_actuals[[#This Row],[Budget]],0)</f>
        <v>4.878048780487805E-2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2342-6085-4953-8136-06FD4E3896A4}">
  <dimension ref="A1:E13"/>
  <sheetViews>
    <sheetView workbookViewId="0">
      <selection activeCell="C7" sqref="C7"/>
    </sheetView>
  </sheetViews>
  <sheetFormatPr defaultRowHeight="14.35" x14ac:dyDescent="0.5"/>
  <cols>
    <col min="1" max="1" width="18.1171875" bestFit="1" customWidth="1"/>
    <col min="2" max="2" width="18.41015625" bestFit="1" customWidth="1"/>
    <col min="3" max="3" width="14.87890625" bestFit="1" customWidth="1"/>
    <col min="5" max="5" width="10.41015625" bestFit="1" customWidth="1"/>
  </cols>
  <sheetData>
    <row r="1" spans="1:5" x14ac:dyDescent="0.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</row>
    <row r="2" spans="1:5" x14ac:dyDescent="0.5">
      <c r="A2">
        <v>4000</v>
      </c>
      <c r="B2" t="s">
        <v>13</v>
      </c>
      <c r="C2" t="s">
        <v>14</v>
      </c>
      <c r="D2" s="6">
        <v>45894</v>
      </c>
      <c r="E2">
        <v>150000</v>
      </c>
    </row>
    <row r="3" spans="1:5" x14ac:dyDescent="0.5">
      <c r="A3">
        <v>4000</v>
      </c>
      <c r="B3" t="s">
        <v>13</v>
      </c>
      <c r="C3" t="s">
        <v>14</v>
      </c>
      <c r="D3" s="6">
        <v>45925</v>
      </c>
      <c r="E3">
        <v>165000</v>
      </c>
    </row>
    <row r="4" spans="1:5" x14ac:dyDescent="0.5">
      <c r="A4">
        <v>5000</v>
      </c>
      <c r="B4" t="s">
        <v>15</v>
      </c>
      <c r="C4" t="s">
        <v>16</v>
      </c>
      <c r="D4" s="6">
        <v>45894</v>
      </c>
      <c r="E4">
        <v>80000</v>
      </c>
    </row>
    <row r="5" spans="1:5" x14ac:dyDescent="0.5">
      <c r="A5">
        <v>5000</v>
      </c>
      <c r="B5" t="s">
        <v>15</v>
      </c>
      <c r="C5" t="s">
        <v>16</v>
      </c>
      <c r="D5" s="6">
        <v>45925</v>
      </c>
      <c r="E5">
        <v>88000</v>
      </c>
    </row>
    <row r="6" spans="1:5" x14ac:dyDescent="0.5">
      <c r="A6">
        <v>6000</v>
      </c>
      <c r="B6" t="s">
        <v>17</v>
      </c>
      <c r="C6" t="s">
        <v>16</v>
      </c>
      <c r="D6" s="6">
        <v>45894</v>
      </c>
      <c r="E6">
        <v>40000</v>
      </c>
    </row>
    <row r="7" spans="1:5" x14ac:dyDescent="0.5">
      <c r="A7">
        <v>6000</v>
      </c>
      <c r="B7" t="s">
        <v>17</v>
      </c>
      <c r="C7" t="s">
        <v>16</v>
      </c>
      <c r="D7" s="6">
        <v>45925</v>
      </c>
      <c r="E7">
        <v>42000</v>
      </c>
    </row>
    <row r="8" spans="1:5" x14ac:dyDescent="0.5">
      <c r="A8">
        <v>1000</v>
      </c>
      <c r="B8" t="s">
        <v>18</v>
      </c>
      <c r="C8" t="s">
        <v>19</v>
      </c>
      <c r="D8" s="6">
        <v>45894</v>
      </c>
      <c r="E8">
        <v>50000</v>
      </c>
    </row>
    <row r="9" spans="1:5" x14ac:dyDescent="0.5">
      <c r="A9">
        <v>1000</v>
      </c>
      <c r="B9" t="s">
        <v>18</v>
      </c>
      <c r="C9" t="s">
        <v>19</v>
      </c>
      <c r="D9" s="6">
        <v>45925</v>
      </c>
      <c r="E9">
        <v>62000</v>
      </c>
    </row>
    <row r="10" spans="1:5" x14ac:dyDescent="0.5">
      <c r="A10">
        <v>2000</v>
      </c>
      <c r="B10" t="s">
        <v>20</v>
      </c>
      <c r="C10" t="s">
        <v>21</v>
      </c>
      <c r="D10" s="6">
        <v>45894</v>
      </c>
      <c r="E10">
        <v>30000</v>
      </c>
    </row>
    <row r="11" spans="1:5" x14ac:dyDescent="0.5">
      <c r="A11">
        <v>2000</v>
      </c>
      <c r="B11" t="s">
        <v>20</v>
      </c>
      <c r="C11" t="s">
        <v>21</v>
      </c>
      <c r="D11" s="6">
        <v>45925</v>
      </c>
      <c r="E11">
        <v>35000</v>
      </c>
    </row>
    <row r="12" spans="1:5" x14ac:dyDescent="0.5">
      <c r="A12">
        <v>3000</v>
      </c>
      <c r="B12" t="s">
        <v>22</v>
      </c>
      <c r="C12" t="s">
        <v>22</v>
      </c>
      <c r="D12" s="6">
        <v>45894</v>
      </c>
      <c r="E12">
        <v>70000</v>
      </c>
    </row>
    <row r="13" spans="1:5" x14ac:dyDescent="0.5">
      <c r="A13">
        <v>3000</v>
      </c>
      <c r="B13" t="s">
        <v>22</v>
      </c>
      <c r="C13" t="s">
        <v>22</v>
      </c>
      <c r="D13" s="6">
        <v>45925</v>
      </c>
      <c r="E13">
        <v>75000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Calculator</vt:lpstr>
      <vt:lpstr>Budget vs Actuals</vt:lpstr>
      <vt:lpstr>Financial Close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Mount</dc:creator>
  <cp:keywords/>
  <dc:description/>
  <cp:lastModifiedBy>George Mount</cp:lastModifiedBy>
  <cp:revision/>
  <dcterms:created xsi:type="dcterms:W3CDTF">2025-09-29T22:30:22Z</dcterms:created>
  <dcterms:modified xsi:type="dcterms:W3CDTF">2026-02-04T20:21:54Z</dcterms:modified>
  <cp:category/>
  <cp:contentStatus/>
</cp:coreProperties>
</file>